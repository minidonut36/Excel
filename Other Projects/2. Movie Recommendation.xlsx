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chrishegangkim/Desktop/2025 Spring/Excel/Udemy/"/>
    </mc:Choice>
  </mc:AlternateContent>
  <xr:revisionPtr revIDLastSave="0" documentId="13_ncr:9_{EDD9D785-01E2-A44E-B315-9F1A2B667CB4}" xr6:coauthVersionLast="47" xr6:coauthVersionMax="47" xr10:uidLastSave="{00000000-0000-0000-0000-000000000000}"/>
  <bookViews>
    <workbookView xWindow="0" yWindow="500" windowWidth="28800" windowHeight="16260" activeTab="1" xr2:uid="{00000000-000D-0000-FFFF-FFFF00000000}"/>
  </bookViews>
  <sheets>
    <sheet name="Movie_Database" sheetId="1" r:id="rId1"/>
    <sheet name="Dashboard" sheetId="2" r:id="rId2"/>
    <sheet name="Worksheet" sheetId="3" r:id="rId3"/>
    <sheet name="Worksheet_Final" sheetId="5" r:id="rId4"/>
  </sheets>
  <definedNames>
    <definedName name="Actor">Dashboard!$E$4</definedName>
    <definedName name="Country">Dashboard!$D$4</definedName>
    <definedName name="num_year">Worksheet!$G$2</definedName>
    <definedName name="Type">Dashboard!$C$4</definedName>
    <definedName name="Year">Dashboard!$F$4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1" i="2" l="1" a="1"/>
  <c r="C11" i="2" s="1"/>
  <c r="C5" i="5" a="1"/>
  <c r="C5" i="5" s="1"/>
  <c r="H5" i="3" a="1"/>
  <c r="H5" i="3" s="1"/>
  <c r="G2" i="3" a="1"/>
  <c r="G2" i="3" s="1"/>
  <c r="W5" i="3" s="1" a="1"/>
  <c r="W5" i="3" s="1"/>
  <c r="D2" i="3" a="1"/>
  <c r="D2" i="3" s="1"/>
  <c r="E2" i="3" s="1" a="1"/>
  <c r="E2" i="3" s="1"/>
  <c r="R5" i="3" a="1"/>
  <c r="R5" i="3" s="1"/>
  <c r="M5" i="3" a="1"/>
  <c r="M5" i="3" s="1"/>
  <c r="C2" i="3" a="1"/>
  <c r="C2" i="3" s="1"/>
  <c r="B2" i="3" a="1"/>
  <c r="B2" i="3" s="1"/>
  <c r="A2" i="3" a="1"/>
  <c r="A2" i="3" s="1"/>
  <c r="E29" i="3" l="1" a="1"/>
  <c r="E29" i="3" s="1"/>
  <c r="E20" i="3" a="1"/>
  <c r="E20" i="3" s="1"/>
  <c r="E33" i="3" a="1"/>
  <c r="E33" i="3" s="1"/>
  <c r="E24" i="3" a="1"/>
  <c r="E24" i="3" s="1"/>
  <c r="E15" i="3" a="1"/>
  <c r="E15" i="3" s="1"/>
  <c r="E10" i="3" a="1"/>
  <c r="E10" i="3" s="1"/>
  <c r="E28" i="3" a="1"/>
  <c r="E28" i="3" s="1"/>
  <c r="E19" i="3" a="1"/>
  <c r="E19" i="3" s="1"/>
  <c r="E14" i="3" a="1"/>
  <c r="E14" i="3" s="1"/>
  <c r="E5" i="3" a="1"/>
  <c r="E5" i="3" s="1"/>
  <c r="E11" i="3" a="1"/>
  <c r="E11" i="3" s="1"/>
  <c r="E27" i="3" a="1"/>
  <c r="E27" i="3" s="1"/>
  <c r="E22" i="3" a="1"/>
  <c r="E22" i="3" s="1"/>
  <c r="E13" i="3" a="1"/>
  <c r="E13" i="3" s="1"/>
  <c r="E4" i="3" a="1"/>
  <c r="E4" i="3" s="1"/>
  <c r="E6" i="3" a="1"/>
  <c r="E6" i="3" s="1"/>
  <c r="E30" i="3" a="1"/>
  <c r="E30" i="3" s="1"/>
  <c r="E21" i="3" a="1"/>
  <c r="E21" i="3" s="1"/>
  <c r="E12" i="3" a="1"/>
  <c r="E12" i="3" s="1"/>
  <c r="E3" i="3" a="1"/>
  <c r="E3" i="3" s="1"/>
  <c r="E32" i="3" a="1"/>
  <c r="E32" i="3" s="1"/>
  <c r="E23" i="3" a="1"/>
  <c r="E23" i="3" s="1"/>
  <c r="E18" i="3" a="1"/>
  <c r="E18" i="3" s="1"/>
  <c r="E9" i="3" a="1"/>
  <c r="E9" i="3" s="1"/>
  <c r="E31" i="3" a="1"/>
  <c r="E31" i="3" s="1"/>
  <c r="E26" i="3" a="1"/>
  <c r="E26" i="3" s="1"/>
  <c r="E17" i="3" a="1"/>
  <c r="E17" i="3" s="1"/>
  <c r="E8" i="3" a="1"/>
  <c r="E8" i="3" s="1"/>
  <c r="E25" i="3" a="1"/>
  <c r="E25" i="3" s="1"/>
  <c r="E16" i="3" a="1"/>
  <c r="E16" i="3" s="1"/>
  <c r="E7" i="3" a="1"/>
  <c r="E7" i="3" s="1"/>
  <c r="F2" i="3" l="1" a="1"/>
  <c r="F2" i="3" s="1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<sst xmlns="http://purl.oclc.org/ooxml/spreadsheetml/main" count="423" uniqueCount="111">
  <si>
    <t>Type of Movie</t>
  </si>
  <si>
    <t>Country of the Movie</t>
  </si>
  <si>
    <t>Popular Actor</t>
  </si>
  <si>
    <t>Year of the Movie</t>
  </si>
  <si>
    <t>Romance</t>
  </si>
  <si>
    <t>Japan</t>
  </si>
  <si>
    <t>USA</t>
  </si>
  <si>
    <t>Song Kang-ho</t>
  </si>
  <si>
    <t>Thriller</t>
  </si>
  <si>
    <t>Leonardo DiCaprio</t>
  </si>
  <si>
    <t>Sci-Fi</t>
  </si>
  <si>
    <t>Action</t>
  </si>
  <si>
    <t>UK</t>
  </si>
  <si>
    <t>Comedy</t>
  </si>
  <si>
    <t>South Korea</t>
  </si>
  <si>
    <t>Drama</t>
  </si>
  <si>
    <t>France</t>
  </si>
  <si>
    <t>Horror</t>
  </si>
  <si>
    <t>Movie Title</t>
  </si>
  <si>
    <t>Inception</t>
  </si>
  <si>
    <t>Parasite</t>
  </si>
  <si>
    <t>Titanic</t>
  </si>
  <si>
    <t>Kate Winslet</t>
  </si>
  <si>
    <t>Spirited Away</t>
  </si>
  <si>
    <t>Animation</t>
  </si>
  <si>
    <t>Rumi Hiiragi</t>
  </si>
  <si>
    <t>Amélie</t>
  </si>
  <si>
    <t>Romantic Comedy</t>
  </si>
  <si>
    <t>Audrey Tautou</t>
  </si>
  <si>
    <t>The Dark Knight</t>
  </si>
  <si>
    <t>Christian Bale</t>
  </si>
  <si>
    <t>Interstellar</t>
  </si>
  <si>
    <t>Matthew McConaughey</t>
  </si>
  <si>
    <t>Oldboy</t>
  </si>
  <si>
    <t>Choi Min-sik</t>
  </si>
  <si>
    <t>The Godfather</t>
  </si>
  <si>
    <t>Crime</t>
  </si>
  <si>
    <t>Marlon Brando</t>
  </si>
  <si>
    <t>Slumdog Millionaire</t>
  </si>
  <si>
    <t>Dev Patel</t>
  </si>
  <si>
    <t>La La Land</t>
  </si>
  <si>
    <t>Musical</t>
  </si>
  <si>
    <t>Emma Stone</t>
  </si>
  <si>
    <t>The Grand Budapest Hotel</t>
  </si>
  <si>
    <t>Ralph Fiennes</t>
  </si>
  <si>
    <t>Your Name</t>
  </si>
  <si>
    <t>Ryunosuke Kamiki</t>
  </si>
  <si>
    <t>Train to Busan</t>
  </si>
  <si>
    <t>Gong Yoo</t>
  </si>
  <si>
    <t>The Intouchables</t>
  </si>
  <si>
    <t>Omar Sy</t>
  </si>
  <si>
    <t>Avengers: Endgame</t>
  </si>
  <si>
    <t>Robert Downey Jr.</t>
  </si>
  <si>
    <t>Life Is Beautiful</t>
  </si>
  <si>
    <t>Italy</t>
  </si>
  <si>
    <t>Roberto Benigni</t>
  </si>
  <si>
    <t>Joker</t>
  </si>
  <si>
    <t>Joaquin Phoenix</t>
  </si>
  <si>
    <t>1917</t>
  </si>
  <si>
    <t>War</t>
  </si>
  <si>
    <t>George MacKay</t>
  </si>
  <si>
    <t>The Pianist</t>
  </si>
  <si>
    <t>Biography</t>
  </si>
  <si>
    <t>Adrien Brody</t>
  </si>
  <si>
    <t>Interstellar II</t>
  </si>
  <si>
    <t>Parasite II</t>
  </si>
  <si>
    <t>Life Is Beautiful II</t>
  </si>
  <si>
    <t>Oldboy II</t>
  </si>
  <si>
    <t>Avengers: Endgame II</t>
  </si>
  <si>
    <t>The Grand Budapest Hotel II</t>
  </si>
  <si>
    <t>Your Name II</t>
  </si>
  <si>
    <t>Titanic II</t>
  </si>
  <si>
    <t>Amélie II</t>
  </si>
  <si>
    <t>Your Name II Remastered</t>
  </si>
  <si>
    <t>Life Is Beautiful II Remastered</t>
  </si>
  <si>
    <t>Amélie II Remastered</t>
  </si>
  <si>
    <t>The Grand Budapest Hotel II Remastered</t>
  </si>
  <si>
    <t>Joker II</t>
  </si>
  <si>
    <t>1917 II</t>
  </si>
  <si>
    <t>Slumdog Millionaire II</t>
  </si>
  <si>
    <t>Spirited Away II</t>
  </si>
  <si>
    <t>Parasite II Remastered</t>
  </si>
  <si>
    <t>Joker II Remastered</t>
  </si>
  <si>
    <t>Slumdog Millionaire II Remastered</t>
  </si>
  <si>
    <t>Interstellar II Remastered</t>
  </si>
  <si>
    <t>The Pianist II</t>
  </si>
  <si>
    <t>Spirited Away II Remastered</t>
  </si>
  <si>
    <t>1917 II Remastered</t>
  </si>
  <si>
    <t>Joker II Remastered Remastered</t>
  </si>
  <si>
    <t>Train to Busan II</t>
  </si>
  <si>
    <t>La La Land II</t>
  </si>
  <si>
    <t>Spirited Away II Remastered Remastered</t>
  </si>
  <si>
    <t>Slumdog Millionaire II Remastered Remastered</t>
  </si>
  <si>
    <t>Joker II Remastered Remastered Remastered</t>
  </si>
  <si>
    <t>The Godfather II</t>
  </si>
  <si>
    <t>La La Land II Remastered</t>
  </si>
  <si>
    <t>The Dark Knight II</t>
  </si>
  <si>
    <t>Titanic II Remastered</t>
  </si>
  <si>
    <t>Spirited Away II Remastered Remastered Remastered</t>
  </si>
  <si>
    <t>The Grand Budapest Hotel II Remastered Remastered</t>
  </si>
  <si>
    <t>Oldboy II Remastered</t>
  </si>
  <si>
    <t>La La Land II Remastered Remastered</t>
  </si>
  <si>
    <t>The Dark Knight II Remastered</t>
  </si>
  <si>
    <t>Year of Movie</t>
  </si>
  <si>
    <t>Dashboard</t>
  </si>
  <si>
    <t>Type</t>
  </si>
  <si>
    <t>Country</t>
  </si>
  <si>
    <t>Actor</t>
  </si>
  <si>
    <t>Year</t>
  </si>
  <si>
    <t>2010s</t>
  </si>
  <si>
    <t>Movie Recommendation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</si>
</sst>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 (Body)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9" fillId="0" borderId="10" xfId="0" applyFont="1" applyBorder="1" applyAlignment="1">
      <alignment horizontal="center" vertical="top"/>
    </xf>
    <xf numFmtId="0" fontId="20" fillId="0" borderId="0" xfId="0" applyFont="1"/>
    <xf numFmtId="0" fontId="22" fillId="0" borderId="0" xfId="0" applyFont="1" applyAlignment="1"/>
    <xf numFmtId="0" fontId="21" fillId="0" borderId="0" xfId="0" applyFont="1" applyAlignment="1"/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start style="thin">
          <color auto="1"/>
        </start>
        <end style="thin">
          <color auto="1"/>
        </end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eetMetadata" Target="metadata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12700</xdr:colOff>
      <xdr:row>6</xdr:row>
      <xdr:rowOff>12700</xdr:rowOff>
    </xdr:from>
    <xdr:to>
      <xdr:col>6</xdr:col>
      <xdr:colOff>0</xdr:colOff>
      <xdr:row>10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8A3420-9FBF-BCED-E1B8-A94FBACFBEA2}"/>
            </a:ext>
          </a:extLst>
        </xdr:cNvPr>
        <xdr:cNvSpPr txBox="1"/>
      </xdr:nvSpPr>
      <xdr:spPr>
        <a:xfrm>
          <a:off x="1663700" y="1231900"/>
          <a:ext cx="422910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%"/>
            </a:schemeClr>
          </a:solidFill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/>
            <a:t>Movie</a:t>
          </a:r>
          <a:r>
            <a:rPr lang="en-US" sz="2400" b="1" baseline="0%"/>
            <a:t> Recommendation:</a:t>
          </a:r>
        </a:p>
      </xdr:txBody>
    </xdr:sp>
    <xdr:clientData/>
  </xdr:twoCellAnchor>
</xdr:wsDr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e" displayName="Movie" ref="A1:E101" totalsRowShown="0" headerRowDxfId="2" headerRowBorderDxfId="1" tableBorderDxfId="0">
  <autoFilter ref="A1:E101" xr:uid="{00000000-0009-0000-0100-000001000000}"/>
  <tableColumns count="5">
    <tableColumn id="1" xr3:uid="{00000000-0010-0000-0000-000001000000}" name="Movie Title"/>
    <tableColumn id="2" xr3:uid="{00000000-0010-0000-0000-000002000000}" name="Type of Movie"/>
    <tableColumn id="3" xr3:uid="{00000000-0010-0000-0000-000003000000}" name="Country of the Movie"/>
    <tableColumn id="4" xr3:uid="{00000000-0010-0000-0000-000004000000}" name="Popular Actor"/>
    <tableColumn id="5" xr3:uid="{00000000-0010-0000-0000-000005000000}" name="Year of the Movie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C24" sqref="C24"/>
    </sheetView>
  </sheetViews>
  <sheetFormatPr baseColWidth="10" defaultRowHeight="16" x14ac:dyDescent="0.2"/>
  <cols>
    <col min="1" max="1" width="46.5" bestFit="1" customWidth="1"/>
    <col min="2" max="2" width="17" bestFit="1" customWidth="1"/>
    <col min="3" max="3" width="22.6640625" bestFit="1" customWidth="1"/>
    <col min="4" max="4" width="20.6640625" bestFit="1" customWidth="1"/>
    <col min="5" max="5" width="19.83203125" bestFit="1" customWidth="1"/>
  </cols>
  <sheetData>
    <row r="1" spans="1:5" x14ac:dyDescent="0.2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t="s">
        <v>19</v>
      </c>
      <c r="B2" t="s">
        <v>10</v>
      </c>
      <c r="C2" t="s">
        <v>6</v>
      </c>
      <c r="D2" t="s">
        <v>9</v>
      </c>
      <c r="E2">
        <v>2010</v>
      </c>
    </row>
    <row r="3" spans="1:5" x14ac:dyDescent="0.2">
      <c r="A3" t="s">
        <v>20</v>
      </c>
      <c r="B3" t="s">
        <v>8</v>
      </c>
      <c r="C3" t="s">
        <v>14</v>
      </c>
      <c r="D3" t="s">
        <v>7</v>
      </c>
      <c r="E3">
        <v>2019</v>
      </c>
    </row>
    <row r="4" spans="1:5" x14ac:dyDescent="0.2">
      <c r="A4" t="s">
        <v>21</v>
      </c>
      <c r="B4" t="s">
        <v>4</v>
      </c>
      <c r="C4" t="s">
        <v>6</v>
      </c>
      <c r="D4" t="s">
        <v>22</v>
      </c>
      <c r="E4">
        <v>1997</v>
      </c>
    </row>
    <row r="5" spans="1:5" x14ac:dyDescent="0.2">
      <c r="A5" t="s">
        <v>23</v>
      </c>
      <c r="B5" t="s">
        <v>24</v>
      </c>
      <c r="C5" t="s">
        <v>5</v>
      </c>
      <c r="D5" t="s">
        <v>25</v>
      </c>
      <c r="E5">
        <v>2001</v>
      </c>
    </row>
    <row r="6" spans="1:5" x14ac:dyDescent="0.2">
      <c r="A6" t="s">
        <v>26</v>
      </c>
      <c r="B6" t="s">
        <v>27</v>
      </c>
      <c r="C6" t="s">
        <v>16</v>
      </c>
      <c r="D6" t="s">
        <v>28</v>
      </c>
      <c r="E6">
        <v>2001</v>
      </c>
    </row>
    <row r="7" spans="1:5" x14ac:dyDescent="0.2">
      <c r="A7" t="s">
        <v>29</v>
      </c>
      <c r="B7" t="s">
        <v>11</v>
      </c>
      <c r="C7" t="s">
        <v>6</v>
      </c>
      <c r="D7" t="s">
        <v>30</v>
      </c>
      <c r="E7">
        <v>2008</v>
      </c>
    </row>
    <row r="8" spans="1:5" x14ac:dyDescent="0.2">
      <c r="A8" t="s">
        <v>31</v>
      </c>
      <c r="B8" t="s">
        <v>10</v>
      </c>
      <c r="C8" t="s">
        <v>6</v>
      </c>
      <c r="D8" t="s">
        <v>32</v>
      </c>
      <c r="E8">
        <v>2014</v>
      </c>
    </row>
    <row r="9" spans="1:5" x14ac:dyDescent="0.2">
      <c r="A9" t="s">
        <v>33</v>
      </c>
      <c r="B9" t="s">
        <v>8</v>
      </c>
      <c r="C9" t="s">
        <v>14</v>
      </c>
      <c r="D9" t="s">
        <v>34</v>
      </c>
      <c r="E9">
        <v>2003</v>
      </c>
    </row>
    <row r="10" spans="1:5" x14ac:dyDescent="0.2">
      <c r="A10" t="s">
        <v>35</v>
      </c>
      <c r="B10" t="s">
        <v>36</v>
      </c>
      <c r="C10" t="s">
        <v>6</v>
      </c>
      <c r="D10" t="s">
        <v>37</v>
      </c>
      <c r="E10">
        <v>1972</v>
      </c>
    </row>
    <row r="11" spans="1:5" x14ac:dyDescent="0.2">
      <c r="A11" t="s">
        <v>38</v>
      </c>
      <c r="B11" t="s">
        <v>15</v>
      </c>
      <c r="C11" t="s">
        <v>12</v>
      </c>
      <c r="D11" t="s">
        <v>39</v>
      </c>
      <c r="E11">
        <v>2008</v>
      </c>
    </row>
    <row r="12" spans="1:5" x14ac:dyDescent="0.2">
      <c r="A12" t="s">
        <v>40</v>
      </c>
      <c r="B12" t="s">
        <v>41</v>
      </c>
      <c r="C12" t="s">
        <v>6</v>
      </c>
      <c r="D12" t="s">
        <v>42</v>
      </c>
      <c r="E12">
        <v>2016</v>
      </c>
    </row>
    <row r="13" spans="1:5" x14ac:dyDescent="0.2">
      <c r="A13" t="s">
        <v>43</v>
      </c>
      <c r="B13" t="s">
        <v>13</v>
      </c>
      <c r="C13" t="s">
        <v>6</v>
      </c>
      <c r="D13" t="s">
        <v>44</v>
      </c>
      <c r="E13">
        <v>2014</v>
      </c>
    </row>
    <row r="14" spans="1:5" x14ac:dyDescent="0.2">
      <c r="A14" t="s">
        <v>45</v>
      </c>
      <c r="B14" t="s">
        <v>24</v>
      </c>
      <c r="C14" t="s">
        <v>5</v>
      </c>
      <c r="D14" t="s">
        <v>46</v>
      </c>
      <c r="E14">
        <v>2016</v>
      </c>
    </row>
    <row r="15" spans="1:5" x14ac:dyDescent="0.2">
      <c r="A15" t="s">
        <v>47</v>
      </c>
      <c r="B15" t="s">
        <v>17</v>
      </c>
      <c r="C15" t="s">
        <v>14</v>
      </c>
      <c r="D15" t="s">
        <v>48</v>
      </c>
      <c r="E15">
        <v>2016</v>
      </c>
    </row>
    <row r="16" spans="1:5" x14ac:dyDescent="0.2">
      <c r="A16" t="s">
        <v>49</v>
      </c>
      <c r="B16" t="s">
        <v>15</v>
      </c>
      <c r="C16" t="s">
        <v>16</v>
      </c>
      <c r="D16" t="s">
        <v>50</v>
      </c>
      <c r="E16">
        <v>2011</v>
      </c>
    </row>
    <row r="17" spans="1:5" x14ac:dyDescent="0.2">
      <c r="A17" t="s">
        <v>51</v>
      </c>
      <c r="B17" t="s">
        <v>11</v>
      </c>
      <c r="C17" t="s">
        <v>6</v>
      </c>
      <c r="D17" t="s">
        <v>52</v>
      </c>
      <c r="E17">
        <v>2019</v>
      </c>
    </row>
    <row r="18" spans="1:5" x14ac:dyDescent="0.2">
      <c r="A18" t="s">
        <v>53</v>
      </c>
      <c r="B18" t="s">
        <v>15</v>
      </c>
      <c r="C18" t="s">
        <v>54</v>
      </c>
      <c r="D18" t="s">
        <v>55</v>
      </c>
      <c r="E18">
        <v>1997</v>
      </c>
    </row>
    <row r="19" spans="1:5" x14ac:dyDescent="0.2">
      <c r="A19" t="s">
        <v>56</v>
      </c>
      <c r="B19" t="s">
        <v>15</v>
      </c>
      <c r="C19" t="s">
        <v>6</v>
      </c>
      <c r="D19" t="s">
        <v>57</v>
      </c>
      <c r="E19">
        <v>2019</v>
      </c>
    </row>
    <row r="20" spans="1:5" x14ac:dyDescent="0.2">
      <c r="A20" t="s">
        <v>58</v>
      </c>
      <c r="B20" t="s">
        <v>59</v>
      </c>
      <c r="C20" t="s">
        <v>12</v>
      </c>
      <c r="D20" t="s">
        <v>60</v>
      </c>
      <c r="E20">
        <v>2019</v>
      </c>
    </row>
    <row r="21" spans="1:5" x14ac:dyDescent="0.2">
      <c r="A21" t="s">
        <v>61</v>
      </c>
      <c r="B21" t="s">
        <v>62</v>
      </c>
      <c r="C21" t="s">
        <v>16</v>
      </c>
      <c r="D21" t="s">
        <v>63</v>
      </c>
      <c r="E21">
        <v>2002</v>
      </c>
    </row>
    <row r="22" spans="1:5" x14ac:dyDescent="0.2">
      <c r="A22" t="s">
        <v>64</v>
      </c>
      <c r="B22" t="s">
        <v>10</v>
      </c>
      <c r="C22" t="s">
        <v>6</v>
      </c>
      <c r="D22" t="s">
        <v>32</v>
      </c>
      <c r="E22">
        <v>2017</v>
      </c>
    </row>
    <row r="23" spans="1:5" x14ac:dyDescent="0.2">
      <c r="A23" t="s">
        <v>65</v>
      </c>
      <c r="B23" t="s">
        <v>8</v>
      </c>
      <c r="C23" t="s">
        <v>14</v>
      </c>
      <c r="D23" t="s">
        <v>7</v>
      </c>
      <c r="E23">
        <v>2008</v>
      </c>
    </row>
    <row r="24" spans="1:5" x14ac:dyDescent="0.2">
      <c r="A24" t="s">
        <v>66</v>
      </c>
      <c r="B24" t="s">
        <v>15</v>
      </c>
      <c r="C24" t="s">
        <v>54</v>
      </c>
      <c r="D24" t="s">
        <v>55</v>
      </c>
      <c r="E24">
        <v>2006</v>
      </c>
    </row>
    <row r="25" spans="1:5" x14ac:dyDescent="0.2">
      <c r="A25" t="s">
        <v>67</v>
      </c>
      <c r="B25" t="s">
        <v>8</v>
      </c>
      <c r="C25" t="s">
        <v>14</v>
      </c>
      <c r="D25" t="s">
        <v>34</v>
      </c>
      <c r="E25">
        <v>2022</v>
      </c>
    </row>
    <row r="26" spans="1:5" x14ac:dyDescent="0.2">
      <c r="A26" t="s">
        <v>68</v>
      </c>
      <c r="B26" t="s">
        <v>11</v>
      </c>
      <c r="C26" t="s">
        <v>6</v>
      </c>
      <c r="D26" t="s">
        <v>52</v>
      </c>
      <c r="E26">
        <v>2012</v>
      </c>
    </row>
    <row r="27" spans="1:5" x14ac:dyDescent="0.2">
      <c r="A27" t="s">
        <v>66</v>
      </c>
      <c r="B27" t="s">
        <v>15</v>
      </c>
      <c r="C27" t="s">
        <v>54</v>
      </c>
      <c r="D27" t="s">
        <v>55</v>
      </c>
      <c r="E27">
        <v>1995</v>
      </c>
    </row>
    <row r="28" spans="1:5" x14ac:dyDescent="0.2">
      <c r="A28" t="s">
        <v>69</v>
      </c>
      <c r="B28" t="s">
        <v>13</v>
      </c>
      <c r="C28" t="s">
        <v>6</v>
      </c>
      <c r="D28" t="s">
        <v>44</v>
      </c>
      <c r="E28">
        <v>2000</v>
      </c>
    </row>
    <row r="29" spans="1:5" x14ac:dyDescent="0.2">
      <c r="A29" t="s">
        <v>69</v>
      </c>
      <c r="B29" t="s">
        <v>13</v>
      </c>
      <c r="C29" t="s">
        <v>6</v>
      </c>
      <c r="D29" t="s">
        <v>44</v>
      </c>
      <c r="E29">
        <v>2023</v>
      </c>
    </row>
    <row r="30" spans="1:5" x14ac:dyDescent="0.2">
      <c r="A30" t="s">
        <v>70</v>
      </c>
      <c r="B30" t="s">
        <v>24</v>
      </c>
      <c r="C30" t="s">
        <v>5</v>
      </c>
      <c r="D30" t="s">
        <v>46</v>
      </c>
      <c r="E30">
        <v>2022</v>
      </c>
    </row>
    <row r="31" spans="1:5" x14ac:dyDescent="0.2">
      <c r="A31" t="s">
        <v>71</v>
      </c>
      <c r="B31" t="s">
        <v>4</v>
      </c>
      <c r="C31" t="s">
        <v>6</v>
      </c>
      <c r="D31" t="s">
        <v>22</v>
      </c>
      <c r="E31">
        <v>2015</v>
      </c>
    </row>
    <row r="32" spans="1:5" x14ac:dyDescent="0.2">
      <c r="A32" t="s">
        <v>69</v>
      </c>
      <c r="B32" t="s">
        <v>13</v>
      </c>
      <c r="C32" t="s">
        <v>6</v>
      </c>
      <c r="D32" t="s">
        <v>44</v>
      </c>
      <c r="E32">
        <v>1994</v>
      </c>
    </row>
    <row r="33" spans="1:5" x14ac:dyDescent="0.2">
      <c r="A33" t="s">
        <v>72</v>
      </c>
      <c r="B33" t="s">
        <v>27</v>
      </c>
      <c r="C33" t="s">
        <v>16</v>
      </c>
      <c r="D33" t="s">
        <v>28</v>
      </c>
      <c r="E33">
        <v>2014</v>
      </c>
    </row>
    <row r="34" spans="1:5" x14ac:dyDescent="0.2">
      <c r="A34" t="s">
        <v>73</v>
      </c>
      <c r="B34" t="s">
        <v>24</v>
      </c>
      <c r="C34" t="s">
        <v>5</v>
      </c>
      <c r="D34" t="s">
        <v>46</v>
      </c>
      <c r="E34">
        <v>1996</v>
      </c>
    </row>
    <row r="35" spans="1:5" x14ac:dyDescent="0.2">
      <c r="A35" t="s">
        <v>69</v>
      </c>
      <c r="B35" t="s">
        <v>13</v>
      </c>
      <c r="C35" t="s">
        <v>6</v>
      </c>
      <c r="D35" t="s">
        <v>44</v>
      </c>
      <c r="E35">
        <v>2016</v>
      </c>
    </row>
    <row r="36" spans="1:5" x14ac:dyDescent="0.2">
      <c r="A36" t="s">
        <v>68</v>
      </c>
      <c r="B36" t="s">
        <v>11</v>
      </c>
      <c r="C36" t="s">
        <v>6</v>
      </c>
      <c r="D36" t="s">
        <v>52</v>
      </c>
      <c r="E36">
        <v>2015</v>
      </c>
    </row>
    <row r="37" spans="1:5" x14ac:dyDescent="0.2">
      <c r="A37" t="s">
        <v>69</v>
      </c>
      <c r="B37" t="s">
        <v>13</v>
      </c>
      <c r="C37" t="s">
        <v>6</v>
      </c>
      <c r="D37" t="s">
        <v>44</v>
      </c>
      <c r="E37">
        <v>2004</v>
      </c>
    </row>
    <row r="38" spans="1:5" x14ac:dyDescent="0.2">
      <c r="A38" t="s">
        <v>74</v>
      </c>
      <c r="B38" t="s">
        <v>15</v>
      </c>
      <c r="C38" t="s">
        <v>54</v>
      </c>
      <c r="D38" t="s">
        <v>55</v>
      </c>
      <c r="E38">
        <v>2013</v>
      </c>
    </row>
    <row r="39" spans="1:5" x14ac:dyDescent="0.2">
      <c r="A39" t="s">
        <v>75</v>
      </c>
      <c r="B39" t="s">
        <v>27</v>
      </c>
      <c r="C39" t="s">
        <v>16</v>
      </c>
      <c r="D39" t="s">
        <v>28</v>
      </c>
      <c r="E39">
        <v>2014</v>
      </c>
    </row>
    <row r="40" spans="1:5" x14ac:dyDescent="0.2">
      <c r="A40" t="s">
        <v>76</v>
      </c>
      <c r="B40" t="s">
        <v>13</v>
      </c>
      <c r="C40" t="s">
        <v>6</v>
      </c>
      <c r="D40" t="s">
        <v>44</v>
      </c>
      <c r="E40">
        <v>2000</v>
      </c>
    </row>
    <row r="41" spans="1:5" x14ac:dyDescent="0.2">
      <c r="A41" t="s">
        <v>77</v>
      </c>
      <c r="B41" t="s">
        <v>15</v>
      </c>
      <c r="C41" t="s">
        <v>6</v>
      </c>
      <c r="D41" t="s">
        <v>57</v>
      </c>
      <c r="E41">
        <v>1992</v>
      </c>
    </row>
    <row r="42" spans="1:5" x14ac:dyDescent="0.2">
      <c r="A42" t="s">
        <v>78</v>
      </c>
      <c r="B42" t="s">
        <v>59</v>
      </c>
      <c r="C42" t="s">
        <v>12</v>
      </c>
      <c r="D42" t="s">
        <v>60</v>
      </c>
      <c r="E42">
        <v>2015</v>
      </c>
    </row>
    <row r="43" spans="1:5" x14ac:dyDescent="0.2">
      <c r="A43" t="s">
        <v>79</v>
      </c>
      <c r="B43" t="s">
        <v>15</v>
      </c>
      <c r="C43" t="s">
        <v>12</v>
      </c>
      <c r="D43" t="s">
        <v>39</v>
      </c>
      <c r="E43">
        <v>2020</v>
      </c>
    </row>
    <row r="44" spans="1:5" x14ac:dyDescent="0.2">
      <c r="A44" t="s">
        <v>80</v>
      </c>
      <c r="B44" t="s">
        <v>24</v>
      </c>
      <c r="C44" t="s">
        <v>5</v>
      </c>
      <c r="D44" t="s">
        <v>25</v>
      </c>
      <c r="E44">
        <v>2006</v>
      </c>
    </row>
    <row r="45" spans="1:5" x14ac:dyDescent="0.2">
      <c r="A45" t="s">
        <v>81</v>
      </c>
      <c r="B45" t="s">
        <v>8</v>
      </c>
      <c r="C45" t="s">
        <v>14</v>
      </c>
      <c r="D45" t="s">
        <v>7</v>
      </c>
      <c r="E45">
        <v>2009</v>
      </c>
    </row>
    <row r="46" spans="1:5" x14ac:dyDescent="0.2">
      <c r="A46" t="s">
        <v>77</v>
      </c>
      <c r="B46" t="s">
        <v>15</v>
      </c>
      <c r="C46" t="s">
        <v>6</v>
      </c>
      <c r="D46" t="s">
        <v>57</v>
      </c>
      <c r="E46">
        <v>2019</v>
      </c>
    </row>
    <row r="47" spans="1:5" x14ac:dyDescent="0.2">
      <c r="A47" t="s">
        <v>64</v>
      </c>
      <c r="B47" t="s">
        <v>10</v>
      </c>
      <c r="C47" t="s">
        <v>6</v>
      </c>
      <c r="D47" t="s">
        <v>32</v>
      </c>
      <c r="E47">
        <v>2023</v>
      </c>
    </row>
    <row r="48" spans="1:5" x14ac:dyDescent="0.2">
      <c r="A48" t="s">
        <v>82</v>
      </c>
      <c r="B48" t="s">
        <v>15</v>
      </c>
      <c r="C48" t="s">
        <v>6</v>
      </c>
      <c r="D48" t="s">
        <v>57</v>
      </c>
      <c r="E48">
        <v>1996</v>
      </c>
    </row>
    <row r="49" spans="1:5" x14ac:dyDescent="0.2">
      <c r="A49" t="s">
        <v>69</v>
      </c>
      <c r="B49" t="s">
        <v>13</v>
      </c>
      <c r="C49" t="s">
        <v>6</v>
      </c>
      <c r="D49" t="s">
        <v>44</v>
      </c>
      <c r="E49">
        <v>1993</v>
      </c>
    </row>
    <row r="50" spans="1:5" x14ac:dyDescent="0.2">
      <c r="A50" t="s">
        <v>73</v>
      </c>
      <c r="B50" t="s">
        <v>24</v>
      </c>
      <c r="C50" t="s">
        <v>5</v>
      </c>
      <c r="D50" t="s">
        <v>46</v>
      </c>
      <c r="E50">
        <v>2016</v>
      </c>
    </row>
    <row r="51" spans="1:5" x14ac:dyDescent="0.2">
      <c r="A51" t="s">
        <v>78</v>
      </c>
      <c r="B51" t="s">
        <v>59</v>
      </c>
      <c r="C51" t="s">
        <v>12</v>
      </c>
      <c r="D51" t="s">
        <v>60</v>
      </c>
      <c r="E51">
        <v>2013</v>
      </c>
    </row>
    <row r="52" spans="1:5" x14ac:dyDescent="0.2">
      <c r="A52" t="s">
        <v>83</v>
      </c>
      <c r="B52" t="s">
        <v>15</v>
      </c>
      <c r="C52" t="s">
        <v>12</v>
      </c>
      <c r="D52" t="s">
        <v>39</v>
      </c>
      <c r="E52">
        <v>2006</v>
      </c>
    </row>
    <row r="53" spans="1:5" x14ac:dyDescent="0.2">
      <c r="A53" t="s">
        <v>68</v>
      </c>
      <c r="B53" t="s">
        <v>11</v>
      </c>
      <c r="C53" t="s">
        <v>6</v>
      </c>
      <c r="D53" t="s">
        <v>52</v>
      </c>
      <c r="E53">
        <v>1991</v>
      </c>
    </row>
    <row r="54" spans="1:5" x14ac:dyDescent="0.2">
      <c r="A54" t="s">
        <v>84</v>
      </c>
      <c r="B54" t="s">
        <v>10</v>
      </c>
      <c r="C54" t="s">
        <v>6</v>
      </c>
      <c r="D54" t="s">
        <v>32</v>
      </c>
      <c r="E54">
        <v>1995</v>
      </c>
    </row>
    <row r="55" spans="1:5" x14ac:dyDescent="0.2">
      <c r="A55" t="s">
        <v>84</v>
      </c>
      <c r="B55" t="s">
        <v>10</v>
      </c>
      <c r="C55" t="s">
        <v>6</v>
      </c>
      <c r="D55" t="s">
        <v>32</v>
      </c>
      <c r="E55">
        <v>2001</v>
      </c>
    </row>
    <row r="56" spans="1:5" x14ac:dyDescent="0.2">
      <c r="A56" t="s">
        <v>85</v>
      </c>
      <c r="B56" t="s">
        <v>62</v>
      </c>
      <c r="C56" t="s">
        <v>16</v>
      </c>
      <c r="D56" t="s">
        <v>63</v>
      </c>
      <c r="E56">
        <v>2001</v>
      </c>
    </row>
    <row r="57" spans="1:5" x14ac:dyDescent="0.2">
      <c r="A57" t="s">
        <v>86</v>
      </c>
      <c r="B57" t="s">
        <v>24</v>
      </c>
      <c r="C57" t="s">
        <v>5</v>
      </c>
      <c r="D57" t="s">
        <v>25</v>
      </c>
      <c r="E57">
        <v>2023</v>
      </c>
    </row>
    <row r="58" spans="1:5" x14ac:dyDescent="0.2">
      <c r="A58" t="s">
        <v>82</v>
      </c>
      <c r="B58" t="s">
        <v>15</v>
      </c>
      <c r="C58" t="s">
        <v>6</v>
      </c>
      <c r="D58" t="s">
        <v>57</v>
      </c>
      <c r="E58">
        <v>1990</v>
      </c>
    </row>
    <row r="59" spans="1:5" x14ac:dyDescent="0.2">
      <c r="A59" t="s">
        <v>74</v>
      </c>
      <c r="B59" t="s">
        <v>15</v>
      </c>
      <c r="C59" t="s">
        <v>54</v>
      </c>
      <c r="D59" t="s">
        <v>55</v>
      </c>
      <c r="E59">
        <v>1992</v>
      </c>
    </row>
    <row r="60" spans="1:5" x14ac:dyDescent="0.2">
      <c r="A60" t="s">
        <v>87</v>
      </c>
      <c r="B60" t="s">
        <v>59</v>
      </c>
      <c r="C60" t="s">
        <v>12</v>
      </c>
      <c r="D60" t="s">
        <v>60</v>
      </c>
      <c r="E60">
        <v>2022</v>
      </c>
    </row>
    <row r="61" spans="1:5" x14ac:dyDescent="0.2">
      <c r="A61" t="s">
        <v>80</v>
      </c>
      <c r="B61" t="s">
        <v>24</v>
      </c>
      <c r="C61" t="s">
        <v>5</v>
      </c>
      <c r="D61" t="s">
        <v>25</v>
      </c>
      <c r="E61">
        <v>2017</v>
      </c>
    </row>
    <row r="62" spans="1:5" x14ac:dyDescent="0.2">
      <c r="A62" t="s">
        <v>86</v>
      </c>
      <c r="B62" t="s">
        <v>24</v>
      </c>
      <c r="C62" t="s">
        <v>5</v>
      </c>
      <c r="D62" t="s">
        <v>25</v>
      </c>
      <c r="E62">
        <v>1997</v>
      </c>
    </row>
    <row r="63" spans="1:5" x14ac:dyDescent="0.2">
      <c r="A63" t="s">
        <v>76</v>
      </c>
      <c r="B63" t="s">
        <v>13</v>
      </c>
      <c r="C63" t="s">
        <v>6</v>
      </c>
      <c r="D63" t="s">
        <v>44</v>
      </c>
      <c r="E63">
        <v>2004</v>
      </c>
    </row>
    <row r="64" spans="1:5" x14ac:dyDescent="0.2">
      <c r="A64" t="s">
        <v>74</v>
      </c>
      <c r="B64" t="s">
        <v>15</v>
      </c>
      <c r="C64" t="s">
        <v>54</v>
      </c>
      <c r="D64" t="s">
        <v>55</v>
      </c>
      <c r="E64">
        <v>2014</v>
      </c>
    </row>
    <row r="65" spans="1:5" x14ac:dyDescent="0.2">
      <c r="A65" t="s">
        <v>83</v>
      </c>
      <c r="B65" t="s">
        <v>15</v>
      </c>
      <c r="C65" t="s">
        <v>12</v>
      </c>
      <c r="D65" t="s">
        <v>39</v>
      </c>
      <c r="E65">
        <v>2000</v>
      </c>
    </row>
    <row r="66" spans="1:5" x14ac:dyDescent="0.2">
      <c r="A66" t="s">
        <v>88</v>
      </c>
      <c r="B66" t="s">
        <v>15</v>
      </c>
      <c r="C66" t="s">
        <v>6</v>
      </c>
      <c r="D66" t="s">
        <v>57</v>
      </c>
      <c r="E66">
        <v>2010</v>
      </c>
    </row>
    <row r="67" spans="1:5" x14ac:dyDescent="0.2">
      <c r="A67" t="s">
        <v>80</v>
      </c>
      <c r="B67" t="s">
        <v>24</v>
      </c>
      <c r="C67" t="s">
        <v>5</v>
      </c>
      <c r="D67" t="s">
        <v>25</v>
      </c>
      <c r="E67">
        <v>2014</v>
      </c>
    </row>
    <row r="68" spans="1:5" x14ac:dyDescent="0.2">
      <c r="A68" t="s">
        <v>78</v>
      </c>
      <c r="B68" t="s">
        <v>59</v>
      </c>
      <c r="C68" t="s">
        <v>12</v>
      </c>
      <c r="D68" t="s">
        <v>60</v>
      </c>
      <c r="E68">
        <v>2023</v>
      </c>
    </row>
    <row r="69" spans="1:5" x14ac:dyDescent="0.2">
      <c r="A69" t="s">
        <v>66</v>
      </c>
      <c r="B69" t="s">
        <v>15</v>
      </c>
      <c r="C69" t="s">
        <v>54</v>
      </c>
      <c r="D69" t="s">
        <v>55</v>
      </c>
      <c r="E69">
        <v>2013</v>
      </c>
    </row>
    <row r="70" spans="1:5" x14ac:dyDescent="0.2">
      <c r="A70" t="s">
        <v>76</v>
      </c>
      <c r="B70" t="s">
        <v>13</v>
      </c>
      <c r="C70" t="s">
        <v>6</v>
      </c>
      <c r="D70" t="s">
        <v>44</v>
      </c>
      <c r="E70">
        <v>2002</v>
      </c>
    </row>
    <row r="71" spans="1:5" x14ac:dyDescent="0.2">
      <c r="A71" t="s">
        <v>88</v>
      </c>
      <c r="B71" t="s">
        <v>15</v>
      </c>
      <c r="C71" t="s">
        <v>6</v>
      </c>
      <c r="D71" t="s">
        <v>57</v>
      </c>
      <c r="E71">
        <v>2011</v>
      </c>
    </row>
    <row r="72" spans="1:5" x14ac:dyDescent="0.2">
      <c r="A72" t="s">
        <v>89</v>
      </c>
      <c r="B72" t="s">
        <v>17</v>
      </c>
      <c r="C72" t="s">
        <v>14</v>
      </c>
      <c r="D72" t="s">
        <v>48</v>
      </c>
      <c r="E72">
        <v>2008</v>
      </c>
    </row>
    <row r="73" spans="1:5" x14ac:dyDescent="0.2">
      <c r="A73" t="s">
        <v>83</v>
      </c>
      <c r="B73" t="s">
        <v>15</v>
      </c>
      <c r="C73" t="s">
        <v>12</v>
      </c>
      <c r="D73" t="s">
        <v>39</v>
      </c>
      <c r="E73">
        <v>1990</v>
      </c>
    </row>
    <row r="74" spans="1:5" x14ac:dyDescent="0.2">
      <c r="A74" t="s">
        <v>90</v>
      </c>
      <c r="B74" t="s">
        <v>41</v>
      </c>
      <c r="C74" t="s">
        <v>6</v>
      </c>
      <c r="D74" t="s">
        <v>42</v>
      </c>
      <c r="E74">
        <v>2004</v>
      </c>
    </row>
    <row r="75" spans="1:5" x14ac:dyDescent="0.2">
      <c r="A75" t="s">
        <v>87</v>
      </c>
      <c r="B75" t="s">
        <v>59</v>
      </c>
      <c r="C75" t="s">
        <v>12</v>
      </c>
      <c r="D75" t="s">
        <v>60</v>
      </c>
      <c r="E75">
        <v>2014</v>
      </c>
    </row>
    <row r="76" spans="1:5" x14ac:dyDescent="0.2">
      <c r="A76" t="s">
        <v>91</v>
      </c>
      <c r="B76" t="s">
        <v>24</v>
      </c>
      <c r="C76" t="s">
        <v>5</v>
      </c>
      <c r="D76" t="s">
        <v>25</v>
      </c>
      <c r="E76">
        <v>2000</v>
      </c>
    </row>
    <row r="77" spans="1:5" x14ac:dyDescent="0.2">
      <c r="A77" t="s">
        <v>92</v>
      </c>
      <c r="B77" t="s">
        <v>15</v>
      </c>
      <c r="C77" t="s">
        <v>12</v>
      </c>
      <c r="D77" t="s">
        <v>39</v>
      </c>
      <c r="E77">
        <v>2013</v>
      </c>
    </row>
    <row r="78" spans="1:5" x14ac:dyDescent="0.2">
      <c r="A78" t="s">
        <v>93</v>
      </c>
      <c r="B78" t="s">
        <v>15</v>
      </c>
      <c r="C78" t="s">
        <v>6</v>
      </c>
      <c r="D78" t="s">
        <v>57</v>
      </c>
      <c r="E78">
        <v>2013</v>
      </c>
    </row>
    <row r="79" spans="1:5" x14ac:dyDescent="0.2">
      <c r="A79" t="s">
        <v>94</v>
      </c>
      <c r="B79" t="s">
        <v>36</v>
      </c>
      <c r="C79" t="s">
        <v>6</v>
      </c>
      <c r="D79" t="s">
        <v>37</v>
      </c>
      <c r="E79">
        <v>2013</v>
      </c>
    </row>
    <row r="80" spans="1:5" x14ac:dyDescent="0.2">
      <c r="A80" t="s">
        <v>74</v>
      </c>
      <c r="B80" t="s">
        <v>15</v>
      </c>
      <c r="C80" t="s">
        <v>54</v>
      </c>
      <c r="D80" t="s">
        <v>55</v>
      </c>
      <c r="E80">
        <v>1994</v>
      </c>
    </row>
    <row r="81" spans="1:5" x14ac:dyDescent="0.2">
      <c r="A81" t="s">
        <v>95</v>
      </c>
      <c r="B81" t="s">
        <v>41</v>
      </c>
      <c r="C81" t="s">
        <v>6</v>
      </c>
      <c r="D81" t="s">
        <v>42</v>
      </c>
      <c r="E81">
        <v>1998</v>
      </c>
    </row>
    <row r="82" spans="1:5" x14ac:dyDescent="0.2">
      <c r="A82" t="s">
        <v>96</v>
      </c>
      <c r="B82" t="s">
        <v>11</v>
      </c>
      <c r="C82" t="s">
        <v>6</v>
      </c>
      <c r="D82" t="s">
        <v>30</v>
      </c>
      <c r="E82">
        <v>2011</v>
      </c>
    </row>
    <row r="83" spans="1:5" x14ac:dyDescent="0.2">
      <c r="A83" t="s">
        <v>76</v>
      </c>
      <c r="B83" t="s">
        <v>13</v>
      </c>
      <c r="C83" t="s">
        <v>6</v>
      </c>
      <c r="D83" t="s">
        <v>44</v>
      </c>
      <c r="E83">
        <v>1990</v>
      </c>
    </row>
    <row r="84" spans="1:5" x14ac:dyDescent="0.2">
      <c r="A84" t="s">
        <v>97</v>
      </c>
      <c r="B84" t="s">
        <v>4</v>
      </c>
      <c r="C84" t="s">
        <v>6</v>
      </c>
      <c r="D84" t="s">
        <v>22</v>
      </c>
      <c r="E84">
        <v>1991</v>
      </c>
    </row>
    <row r="85" spans="1:5" x14ac:dyDescent="0.2">
      <c r="A85" t="s">
        <v>64</v>
      </c>
      <c r="B85" t="s">
        <v>10</v>
      </c>
      <c r="C85" t="s">
        <v>6</v>
      </c>
      <c r="D85" t="s">
        <v>32</v>
      </c>
      <c r="E85">
        <v>2019</v>
      </c>
    </row>
    <row r="86" spans="1:5" x14ac:dyDescent="0.2">
      <c r="A86" t="s">
        <v>98</v>
      </c>
      <c r="B86" t="s">
        <v>24</v>
      </c>
      <c r="C86" t="s">
        <v>5</v>
      </c>
      <c r="D86" t="s">
        <v>25</v>
      </c>
      <c r="E86">
        <v>2008</v>
      </c>
    </row>
    <row r="87" spans="1:5" x14ac:dyDescent="0.2">
      <c r="A87" t="s">
        <v>99</v>
      </c>
      <c r="B87" t="s">
        <v>13</v>
      </c>
      <c r="C87" t="s">
        <v>6</v>
      </c>
      <c r="D87" t="s">
        <v>44</v>
      </c>
      <c r="E87">
        <v>2019</v>
      </c>
    </row>
    <row r="88" spans="1:5" x14ac:dyDescent="0.2">
      <c r="A88" t="s">
        <v>97</v>
      </c>
      <c r="B88" t="s">
        <v>4</v>
      </c>
      <c r="C88" t="s">
        <v>6</v>
      </c>
      <c r="D88" t="s">
        <v>22</v>
      </c>
      <c r="E88">
        <v>2012</v>
      </c>
    </row>
    <row r="89" spans="1:5" x14ac:dyDescent="0.2">
      <c r="A89" t="s">
        <v>84</v>
      </c>
      <c r="B89" t="s">
        <v>10</v>
      </c>
      <c r="C89" t="s">
        <v>6</v>
      </c>
      <c r="D89" t="s">
        <v>32</v>
      </c>
      <c r="E89">
        <v>1995</v>
      </c>
    </row>
    <row r="90" spans="1:5" x14ac:dyDescent="0.2">
      <c r="A90" t="s">
        <v>88</v>
      </c>
      <c r="B90" t="s">
        <v>15</v>
      </c>
      <c r="C90" t="s">
        <v>6</v>
      </c>
      <c r="D90" t="s">
        <v>57</v>
      </c>
      <c r="E90">
        <v>2016</v>
      </c>
    </row>
    <row r="91" spans="1:5" x14ac:dyDescent="0.2">
      <c r="A91" t="s">
        <v>100</v>
      </c>
      <c r="B91" t="s">
        <v>8</v>
      </c>
      <c r="C91" t="s">
        <v>14</v>
      </c>
      <c r="D91" t="s">
        <v>34</v>
      </c>
      <c r="E91">
        <v>2011</v>
      </c>
    </row>
    <row r="92" spans="1:5" x14ac:dyDescent="0.2">
      <c r="A92" t="s">
        <v>93</v>
      </c>
      <c r="B92" t="s">
        <v>15</v>
      </c>
      <c r="C92" t="s">
        <v>6</v>
      </c>
      <c r="D92" t="s">
        <v>57</v>
      </c>
      <c r="E92">
        <v>2006</v>
      </c>
    </row>
    <row r="93" spans="1:5" x14ac:dyDescent="0.2">
      <c r="A93" t="s">
        <v>76</v>
      </c>
      <c r="B93" t="s">
        <v>13</v>
      </c>
      <c r="C93" t="s">
        <v>6</v>
      </c>
      <c r="D93" t="s">
        <v>44</v>
      </c>
      <c r="E93">
        <v>2019</v>
      </c>
    </row>
    <row r="94" spans="1:5" x14ac:dyDescent="0.2">
      <c r="A94" t="s">
        <v>101</v>
      </c>
      <c r="B94" t="s">
        <v>41</v>
      </c>
      <c r="C94" t="s">
        <v>6</v>
      </c>
      <c r="D94" t="s">
        <v>42</v>
      </c>
      <c r="E94">
        <v>2002</v>
      </c>
    </row>
    <row r="95" spans="1:5" x14ac:dyDescent="0.2">
      <c r="A95" t="s">
        <v>91</v>
      </c>
      <c r="B95" t="s">
        <v>24</v>
      </c>
      <c r="C95" t="s">
        <v>5</v>
      </c>
      <c r="D95" t="s">
        <v>25</v>
      </c>
      <c r="E95">
        <v>2014</v>
      </c>
    </row>
    <row r="96" spans="1:5" x14ac:dyDescent="0.2">
      <c r="A96" t="s">
        <v>102</v>
      </c>
      <c r="B96" t="s">
        <v>11</v>
      </c>
      <c r="C96" t="s">
        <v>6</v>
      </c>
      <c r="D96" t="s">
        <v>30</v>
      </c>
      <c r="E96">
        <v>2021</v>
      </c>
    </row>
    <row r="97" spans="1:5" x14ac:dyDescent="0.2">
      <c r="A97" t="s">
        <v>76</v>
      </c>
      <c r="B97" t="s">
        <v>13</v>
      </c>
      <c r="C97" t="s">
        <v>6</v>
      </c>
      <c r="D97" t="s">
        <v>44</v>
      </c>
      <c r="E97">
        <v>1996</v>
      </c>
    </row>
    <row r="98" spans="1:5" x14ac:dyDescent="0.2">
      <c r="A98" t="s">
        <v>83</v>
      </c>
      <c r="B98" t="s">
        <v>15</v>
      </c>
      <c r="C98" t="s">
        <v>12</v>
      </c>
      <c r="D98" t="s">
        <v>39</v>
      </c>
      <c r="E98">
        <v>1998</v>
      </c>
    </row>
    <row r="99" spans="1:5" x14ac:dyDescent="0.2">
      <c r="A99" t="s">
        <v>86</v>
      </c>
      <c r="B99" t="s">
        <v>24</v>
      </c>
      <c r="C99" t="s">
        <v>5</v>
      </c>
      <c r="D99" t="s">
        <v>25</v>
      </c>
      <c r="E99">
        <v>1991</v>
      </c>
    </row>
    <row r="100" spans="1:5" x14ac:dyDescent="0.2">
      <c r="A100" t="s">
        <v>71</v>
      </c>
      <c r="B100" t="s">
        <v>4</v>
      </c>
      <c r="C100" t="s">
        <v>6</v>
      </c>
      <c r="D100" t="s">
        <v>22</v>
      </c>
      <c r="E100">
        <v>2018</v>
      </c>
    </row>
    <row r="101" spans="1:5" x14ac:dyDescent="0.2">
      <c r="A101" t="s">
        <v>93</v>
      </c>
      <c r="B101" t="s">
        <v>15</v>
      </c>
      <c r="C101" t="s">
        <v>6</v>
      </c>
      <c r="D101" t="s">
        <v>57</v>
      </c>
      <c r="E101">
        <v>2023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F13"/>
  <sheetViews>
    <sheetView tabSelected="1" workbookViewId="0">
      <selection activeCell="C13" sqref="C13"/>
    </sheetView>
  </sheetViews>
  <sheetFormatPr baseColWidth="10" defaultRowHeight="16" x14ac:dyDescent="0.2"/>
  <cols>
    <col min="3" max="3" width="12.6640625" bestFit="1" customWidth="1"/>
    <col min="4" max="4" width="18.33203125" bestFit="1" customWidth="1"/>
    <col min="5" max="5" width="12.1640625" bestFit="1" customWidth="1"/>
    <col min="6" max="6" width="12.5" bestFit="1" customWidth="1"/>
  </cols>
  <sheetData>
    <row r="3" spans="3:6" x14ac:dyDescent="0.2">
      <c r="C3" s="3" t="s">
        <v>0</v>
      </c>
      <c r="D3" s="3" t="s">
        <v>1</v>
      </c>
      <c r="E3" s="3" t="s">
        <v>2</v>
      </c>
      <c r="F3" s="3" t="s">
        <v>103</v>
      </c>
    </row>
    <row r="4" spans="3:6" x14ac:dyDescent="0.2">
      <c r="C4" t="s">
        <v>10</v>
      </c>
      <c r="D4" t="s">
        <v>6</v>
      </c>
      <c r="E4" t="s">
        <v>32</v>
      </c>
      <c r="F4" t="s">
        <v>109</v>
      </c>
    </row>
    <row r="11" spans="3:6" ht="31" x14ac:dyDescent="0.35">
      <c r="C11" s="4" t="str" cm="1">
        <f t="array" ref="C11:C13">_xlfn._xlws.FILTER(Movie[Movie Title],
(Movie[Type of Movie] = Type)
* (Movie[Country of the Movie] = Country)
* (Movie[Popular Actor] = Actor)
* (num_year &lt;= Movie[Year of the Movie]) * (Movie[Year of the Movie] &lt; (num_year + 10)),
"Not Available")</f>
        <v>Interstellar</v>
      </c>
      <c r="D11" s="5"/>
      <c r="E11" s="5"/>
      <c r="F11" s="5"/>
    </row>
    <row r="12" spans="3:6" ht="26" x14ac:dyDescent="0.3">
      <c r="C12" s="6" t="str">
        <v>Interstellar II</v>
      </c>
    </row>
    <row r="13" spans="3:6" ht="26" x14ac:dyDescent="0.3">
      <c r="C13" s="6" t="str">
        <v>Interstellar II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Worksheet!$B$2:$B$7</xm:f>
          </x14:formula1>
          <xm:sqref>D4</xm:sqref>
        </x14:dataValidation>
        <x14:dataValidation type="list" allowBlank="1" showInputMessage="1" showErrorMessage="1" xr:uid="{00000000-0002-0000-0100-000001000000}">
          <x14:formula1>
            <xm:f>Worksheet!$C$2:$C$21</xm:f>
          </x14:formula1>
          <xm:sqref>E4</xm:sqref>
        </x14:dataValidation>
        <x14:dataValidation type="list" allowBlank="1" showInputMessage="1" showErrorMessage="1" xr:uid="{00000000-0002-0000-0100-000002000000}">
          <x14:formula1>
            <xm:f>Worksheet!$F$2:$F$6</xm:f>
          </x14:formula1>
          <xm:sqref>F4</xm:sqref>
        </x14:dataValidation>
        <x14:dataValidation type="list" allowBlank="1" showInputMessage="1" showErrorMessage="1" xr:uid="{00000000-0002-0000-0100-000003000000}">
          <x14:formula1>
            <xm:f>Worksheet!A2:A14</xm:f>
          </x14:formula1>
          <xm:sqref>C4</xm:sqref>
        </x14:dataValidation>
      </x14:dataValidations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5"/>
  <sheetViews>
    <sheetView topLeftCell="J1" workbookViewId="0">
      <selection activeCell="W5" sqref="W5"/>
    </sheetView>
  </sheetViews>
  <sheetFormatPr baseColWidth="10" defaultRowHeight="16" x14ac:dyDescent="0.2"/>
  <cols>
    <col min="1" max="2" width="18.33203125" bestFit="1" customWidth="1"/>
    <col min="3" max="3" width="20.6640625" bestFit="1" customWidth="1"/>
    <col min="4" max="4" width="12.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103</v>
      </c>
    </row>
    <row r="2" spans="1:27" x14ac:dyDescent="0.2">
      <c r="A2" t="str" cm="1">
        <f t="array" ref="A2:A14">_xlfn.UNIQUE(Movie[Type of Movie])</f>
        <v>Sci-Fi</v>
      </c>
      <c r="B2" t="str" cm="1">
        <f t="array" ref="B2:B7">_xlfn.UNIQUE(Movie[Country of the Movie])</f>
        <v>USA</v>
      </c>
      <c r="C2" t="str" cm="1">
        <f t="array" ref="C2:C21">_xlfn.UNIQUE(Movie[Popular Actor])</f>
        <v>Leonardo DiCaprio</v>
      </c>
      <c r="D2" cm="1">
        <f t="array" ref="D2:D33">_xlfn._xlws.SORT(_xlfn.UNIQUE(Movie[Year of the Movie]),,1)</f>
        <v>1972</v>
      </c>
      <c r="E2" t="str" cm="1">
        <f t="array" ref="E2">_xlfn.IFS(
  AND(D2&gt;=1970, D2&lt;1980), "1970s",
  AND(D2&gt;=1980, D2&lt;1990), "1980s",
  AND(D2&gt;=1990, D2&lt;2000), "1990s",
  AND(D2&gt;=2000, D2&lt;2010), "2000s",
  AND(D2&gt;=2010, D2&lt;2020), "2010s",
  D2&gt;=2020, "2020s"
)</f>
        <v>1970s</v>
      </c>
      <c r="F2" t="str" cm="1">
        <f t="array" ref="F2:F6">_xlfn._xlws.SORT(_xlfn.UNIQUE(E2:E33),,1)</f>
        <v>1970s</v>
      </c>
      <c r="G2" cm="1">
        <f t="array" ref="G2" xml:space="preserve"> _xlfn.IFS("1970s" = Year, 1970, "1980s" = Year, 1980, "1990s" = Year, 1990, "2000s" = Year, 2000, "2010s" = Year, 2010, "2020s" = Year, 2020)</f>
        <v>2010</v>
      </c>
    </row>
    <row r="3" spans="1:27" x14ac:dyDescent="0.2">
      <c r="A3" t="str">
        <v>Thriller</v>
      </c>
      <c r="B3" t="str">
        <v>South Korea</v>
      </c>
      <c r="C3" t="str">
        <v>Song Kang-ho</v>
      </c>
      <c r="D3">
        <v>1990</v>
      </c>
      <c r="E3" t="str" cm="1">
        <f t="array" ref="E3">_xlfn.IFS(
  AND(D3&gt;=1970, D3&lt;1980), "1970s",
  AND(D3&gt;=1980, D3&lt;1990), "1980s",
  AND(D3&gt;=1990, D3&lt;2000), "1990s",
  AND(D3&gt;=2000, D3&lt;2010), "2000s",
  AND(D3&gt;=2010, D3&lt;2020), "2010s",
  D3&gt;=2020, "2020s"
)</f>
        <v>1990s</v>
      </c>
      <c r="F3" t="str">
        <v>1990s</v>
      </c>
      <c r="H3" t="s">
        <v>104</v>
      </c>
    </row>
    <row r="4" spans="1:27" x14ac:dyDescent="0.2">
      <c r="A4" t="str">
        <v>Romance</v>
      </c>
      <c r="B4" t="str">
        <v>Japan</v>
      </c>
      <c r="C4" t="str">
        <v>Kate Winslet</v>
      </c>
      <c r="D4">
        <v>1991</v>
      </c>
      <c r="E4" t="str" cm="1">
        <f t="array" ref="E4">_xlfn.IFS(
  AND(D4&gt;=1970, D4&lt;1980), "1970s",
  AND(D4&gt;=1980, D4&lt;1990), "1980s",
  AND(D4&gt;=1990, D4&lt;2000), "1990s",
  AND(D4&gt;=2000, D4&lt;2010), "2000s",
  AND(D4&gt;=2010, D4&lt;2020), "2010s",
  D4&gt;=2020, "2020s"
)</f>
        <v>1990s</v>
      </c>
      <c r="F4" s="1" t="str">
        <v>2000s</v>
      </c>
      <c r="G4" s="1"/>
      <c r="H4" t="s">
        <v>105</v>
      </c>
      <c r="M4" t="s">
        <v>106</v>
      </c>
      <c r="R4" t="s">
        <v>107</v>
      </c>
      <c r="W4" t="s">
        <v>108</v>
      </c>
    </row>
    <row r="5" spans="1:27" x14ac:dyDescent="0.2">
      <c r="A5" t="str">
        <v>Animation</v>
      </c>
      <c r="B5" t="str">
        <v>France</v>
      </c>
      <c r="C5" t="str">
        <v>Rumi Hiiragi</v>
      </c>
      <c r="D5">
        <v>1992</v>
      </c>
      <c r="E5" t="str" cm="1">
        <f t="array" ref="E5">_xlfn.IFS(
  AND(D5&gt;=1970, D5&lt;1980), "1970s",
  AND(D5&gt;=1980, D5&lt;1990), "1980s",
  AND(D5&gt;=1990, D5&lt;2000), "1990s",
  AND(D5&gt;=2000, D5&lt;2010), "2000s",
  AND(D5&gt;=2010, D5&lt;2020), "2010s",
  D5&gt;=2020, "2020s"
)</f>
        <v>1990s</v>
      </c>
      <c r="F5" s="1" t="str">
        <v>2010s</v>
      </c>
      <c r="G5" s="1"/>
      <c r="H5" t="str" cm="1">
        <f t="array" ref="H5:L12">_xlfn._xlws.FILTER(Movie[], Movie[Type of Movie] = Type)</f>
        <v>Inception</v>
      </c>
      <c r="I5" t="str">
        <v>Sci-Fi</v>
      </c>
      <c r="J5" t="str">
        <v>USA</v>
      </c>
      <c r="K5" t="str">
        <v>Leonardo DiCaprio</v>
      </c>
      <c r="L5">
        <v>2010</v>
      </c>
      <c r="M5" t="str" cm="1">
        <f t="array" ref="M5:Q55">_xlfn._xlws.FILTER(Movie[], Movie[Country of the Movie] = Country)</f>
        <v>Inception</v>
      </c>
      <c r="N5" t="str">
        <v>Sci-Fi</v>
      </c>
      <c r="O5" t="str">
        <v>USA</v>
      </c>
      <c r="P5" t="str">
        <v>Leonardo DiCaprio</v>
      </c>
      <c r="Q5">
        <v>2010</v>
      </c>
      <c r="R5" t="str" cm="1">
        <f t="array" ref="R5:V11">_xlfn._xlws.FILTER(Movie[], Movie[Popular Actor] = Actor)</f>
        <v>Interstellar</v>
      </c>
      <c r="S5" t="str">
        <v>Sci-Fi</v>
      </c>
      <c r="T5" t="str">
        <v>USA</v>
      </c>
      <c r="U5" t="str">
        <v>Matthew McConaughey</v>
      </c>
      <c r="V5">
        <v>2014</v>
      </c>
      <c r="W5" t="str" cm="1">
        <f t="array" ref="W5:AA46">_xlfn._xlws.FILTER(Movie[], (num_year &lt;= Movie[Year of the Movie]) * (Movie[Year of the Movie] &lt; (num_year + 10)))</f>
        <v>Inception</v>
      </c>
      <c r="X5" t="str">
        <v>Sci-Fi</v>
      </c>
      <c r="Y5" t="str">
        <v>USA</v>
      </c>
      <c r="Z5" t="str">
        <v>Leonardo DiCaprio</v>
      </c>
      <c r="AA5">
        <v>2010</v>
      </c>
    </row>
    <row r="6" spans="1:27" x14ac:dyDescent="0.2">
      <c r="A6" t="str">
        <v>Romantic Comedy</v>
      </c>
      <c r="B6" t="str">
        <v>UK</v>
      </c>
      <c r="C6" t="str">
        <v>Audrey Tautou</v>
      </c>
      <c r="D6">
        <v>1993</v>
      </c>
      <c r="E6" t="str" cm="1">
        <f t="array" ref="E6">_xlfn.IFS(
  AND(D6&gt;=1970, D6&lt;1980), "1970s",
  AND(D6&gt;=1980, D6&lt;1990), "1980s",
  AND(D6&gt;=1990, D6&lt;2000), "1990s",
  AND(D6&gt;=2000, D6&lt;2010), "2000s",
  AND(D6&gt;=2010, D6&lt;2020), "2010s",
  D6&gt;=2020, "2020s"
)</f>
        <v>1990s</v>
      </c>
      <c r="F6" s="1" t="str">
        <v>2020s</v>
      </c>
      <c r="G6" s="1"/>
      <c r="H6" t="str">
        <v>Interstellar</v>
      </c>
      <c r="I6" t="str">
        <v>Sci-Fi</v>
      </c>
      <c r="J6" t="str">
        <v>USA</v>
      </c>
      <c r="K6" t="str">
        <v>Matthew McConaughey</v>
      </c>
      <c r="L6">
        <v>2014</v>
      </c>
      <c r="M6" t="str">
        <v>Titanic</v>
      </c>
      <c r="N6" t="str">
        <v>Romance</v>
      </c>
      <c r="O6" t="str">
        <v>USA</v>
      </c>
      <c r="P6" t="str">
        <v>Kate Winslet</v>
      </c>
      <c r="Q6">
        <v>1997</v>
      </c>
      <c r="R6" t="str">
        <v>Interstellar II</v>
      </c>
      <c r="S6" t="str">
        <v>Sci-Fi</v>
      </c>
      <c r="T6" t="str">
        <v>USA</v>
      </c>
      <c r="U6" t="str">
        <v>Matthew McConaughey</v>
      </c>
      <c r="V6">
        <v>2017</v>
      </c>
      <c r="W6" t="str">
        <v>Parasite</v>
      </c>
      <c r="X6" t="str">
        <v>Thriller</v>
      </c>
      <c r="Y6" t="str">
        <v>South Korea</v>
      </c>
      <c r="Z6" t="str">
        <v>Song Kang-ho</v>
      </c>
      <c r="AA6">
        <v>2019</v>
      </c>
    </row>
    <row r="7" spans="1:27" x14ac:dyDescent="0.2">
      <c r="A7" t="str">
        <v>Action</v>
      </c>
      <c r="B7" t="str">
        <v>Italy</v>
      </c>
      <c r="C7" t="str">
        <v>Christian Bale</v>
      </c>
      <c r="D7">
        <v>1994</v>
      </c>
      <c r="E7" t="str" cm="1">
        <f t="array" ref="E7">_xlfn.IFS(
  AND(D7&gt;=1970, D7&lt;1980), "1970s",
  AND(D7&gt;=1980, D7&lt;1990), "1980s",
  AND(D7&gt;=1990, D7&lt;2000), "1990s",
  AND(D7&gt;=2000, D7&lt;2010), "2000s",
  AND(D7&gt;=2010, D7&lt;2020), "2010s",
  D7&gt;=2020, "2020s"
)</f>
        <v>1990s</v>
      </c>
      <c r="F7" s="1"/>
      <c r="G7" s="1"/>
      <c r="H7" t="str">
        <v>Interstellar II</v>
      </c>
      <c r="I7" t="str">
        <v>Sci-Fi</v>
      </c>
      <c r="J7" t="str">
        <v>USA</v>
      </c>
      <c r="K7" t="str">
        <v>Matthew McConaughey</v>
      </c>
      <c r="L7">
        <v>2017</v>
      </c>
      <c r="M7" t="str">
        <v>The Dark Knight</v>
      </c>
      <c r="N7" t="str">
        <v>Action</v>
      </c>
      <c r="O7" t="str">
        <v>USA</v>
      </c>
      <c r="P7" t="str">
        <v>Christian Bale</v>
      </c>
      <c r="Q7">
        <v>2008</v>
      </c>
      <c r="R7" t="str">
        <v>Interstellar II</v>
      </c>
      <c r="S7" t="str">
        <v>Sci-Fi</v>
      </c>
      <c r="T7" t="str">
        <v>USA</v>
      </c>
      <c r="U7" t="str">
        <v>Matthew McConaughey</v>
      </c>
      <c r="V7">
        <v>2023</v>
      </c>
      <c r="W7" t="str">
        <v>Interstellar</v>
      </c>
      <c r="X7" t="str">
        <v>Sci-Fi</v>
      </c>
      <c r="Y7" t="str">
        <v>USA</v>
      </c>
      <c r="Z7" t="str">
        <v>Matthew McConaughey</v>
      </c>
      <c r="AA7">
        <v>2014</v>
      </c>
    </row>
    <row r="8" spans="1:27" x14ac:dyDescent="0.2">
      <c r="A8" t="str">
        <v>Crime</v>
      </c>
      <c r="C8" t="str">
        <v>Matthew McConaughey</v>
      </c>
      <c r="D8">
        <v>1995</v>
      </c>
      <c r="E8" t="str" cm="1">
        <f t="array" ref="E8">_xlfn.IFS(
  AND(D8&gt;=1970, D8&lt;1980), "1970s",
  AND(D8&gt;=1980, D8&lt;1990), "1980s",
  AND(D8&gt;=1990, D8&lt;2000), "1990s",
  AND(D8&gt;=2000, D8&lt;2010), "2000s",
  AND(D8&gt;=2010, D8&lt;2020), "2010s",
  D8&gt;=2020, "2020s"
)</f>
        <v>1990s</v>
      </c>
      <c r="H8" t="str">
        <v>Interstellar II</v>
      </c>
      <c r="I8" t="str">
        <v>Sci-Fi</v>
      </c>
      <c r="J8" t="str">
        <v>USA</v>
      </c>
      <c r="K8" t="str">
        <v>Matthew McConaughey</v>
      </c>
      <c r="L8">
        <v>2023</v>
      </c>
      <c r="M8" t="str">
        <v>Interstellar</v>
      </c>
      <c r="N8" t="str">
        <v>Sci-Fi</v>
      </c>
      <c r="O8" t="str">
        <v>USA</v>
      </c>
      <c r="P8" t="str">
        <v>Matthew McConaughey</v>
      </c>
      <c r="Q8">
        <v>2014</v>
      </c>
      <c r="R8" t="str">
        <v>Interstellar II Remastered</v>
      </c>
      <c r="S8" t="str">
        <v>Sci-Fi</v>
      </c>
      <c r="T8" t="str">
        <v>USA</v>
      </c>
      <c r="U8" t="str">
        <v>Matthew McConaughey</v>
      </c>
      <c r="V8">
        <v>1995</v>
      </c>
      <c r="W8" t="str">
        <v>La La Land</v>
      </c>
      <c r="X8" t="str">
        <v>Musical</v>
      </c>
      <c r="Y8" t="str">
        <v>USA</v>
      </c>
      <c r="Z8" t="str">
        <v>Emma Stone</v>
      </c>
      <c r="AA8">
        <v>2016</v>
      </c>
    </row>
    <row r="9" spans="1:27" x14ac:dyDescent="0.2">
      <c r="A9" t="str">
        <v>Drama</v>
      </c>
      <c r="C9" t="str">
        <v>Choi Min-sik</v>
      </c>
      <c r="D9">
        <v>1996</v>
      </c>
      <c r="E9" t="str" cm="1">
        <f t="array" ref="E9">_xlfn.IFS(
  AND(D9&gt;=1970, D9&lt;1980), "1970s",
  AND(D9&gt;=1980, D9&lt;1990), "1980s",
  AND(D9&gt;=1990, D9&lt;2000), "1990s",
  AND(D9&gt;=2000, D9&lt;2010), "2000s",
  AND(D9&gt;=2010, D9&lt;2020), "2010s",
  D9&gt;=2020, "2020s"
)</f>
        <v>1990s</v>
      </c>
      <c r="H9" t="str">
        <v>Interstellar II Remastered</v>
      </c>
      <c r="I9" t="str">
        <v>Sci-Fi</v>
      </c>
      <c r="J9" t="str">
        <v>USA</v>
      </c>
      <c r="K9" t="str">
        <v>Matthew McConaughey</v>
      </c>
      <c r="L9">
        <v>1995</v>
      </c>
      <c r="M9" t="str">
        <v>The Godfather</v>
      </c>
      <c r="N9" t="str">
        <v>Crime</v>
      </c>
      <c r="O9" t="str">
        <v>USA</v>
      </c>
      <c r="P9" t="str">
        <v>Marlon Brando</v>
      </c>
      <c r="Q9">
        <v>1972</v>
      </c>
      <c r="R9" t="str">
        <v>Interstellar II Remastered</v>
      </c>
      <c r="S9" t="str">
        <v>Sci-Fi</v>
      </c>
      <c r="T9" t="str">
        <v>USA</v>
      </c>
      <c r="U9" t="str">
        <v>Matthew McConaughey</v>
      </c>
      <c r="V9">
        <v>2001</v>
      </c>
      <c r="W9" t="str">
        <v>The Grand Budapest Hotel</v>
      </c>
      <c r="X9" t="str">
        <v>Comedy</v>
      </c>
      <c r="Y9" t="str">
        <v>USA</v>
      </c>
      <c r="Z9" t="str">
        <v>Ralph Fiennes</v>
      </c>
      <c r="AA9">
        <v>2014</v>
      </c>
    </row>
    <row r="10" spans="1:27" x14ac:dyDescent="0.2">
      <c r="A10" t="str">
        <v>Musical</v>
      </c>
      <c r="C10" t="str">
        <v>Marlon Brando</v>
      </c>
      <c r="D10">
        <v>1997</v>
      </c>
      <c r="E10" t="str" cm="1">
        <f t="array" ref="E10">_xlfn.IFS(
  AND(D10&gt;=1970, D10&lt;1980), "1970s",
  AND(D10&gt;=1980, D10&lt;1990), "1980s",
  AND(D10&gt;=1990, D10&lt;2000), "1990s",
  AND(D10&gt;=2000, D10&lt;2010), "2000s",
  AND(D10&gt;=2010, D10&lt;2020), "2010s",
  D10&gt;=2020, "2020s"
)</f>
        <v>1990s</v>
      </c>
      <c r="H10" t="str">
        <v>Interstellar II Remastered</v>
      </c>
      <c r="I10" t="str">
        <v>Sci-Fi</v>
      </c>
      <c r="J10" t="str">
        <v>USA</v>
      </c>
      <c r="K10" t="str">
        <v>Matthew McConaughey</v>
      </c>
      <c r="L10">
        <v>2001</v>
      </c>
      <c r="M10" t="str">
        <v>La La Land</v>
      </c>
      <c r="N10" t="str">
        <v>Musical</v>
      </c>
      <c r="O10" t="str">
        <v>USA</v>
      </c>
      <c r="P10" t="str">
        <v>Emma Stone</v>
      </c>
      <c r="Q10">
        <v>2016</v>
      </c>
      <c r="R10" t="str">
        <v>Interstellar II</v>
      </c>
      <c r="S10" t="str">
        <v>Sci-Fi</v>
      </c>
      <c r="T10" t="str">
        <v>USA</v>
      </c>
      <c r="U10" t="str">
        <v>Matthew McConaughey</v>
      </c>
      <c r="V10">
        <v>2019</v>
      </c>
      <c r="W10" t="str">
        <v>Your Name</v>
      </c>
      <c r="X10" t="str">
        <v>Animation</v>
      </c>
      <c r="Y10" t="str">
        <v>Japan</v>
      </c>
      <c r="Z10" t="str">
        <v>Ryunosuke Kamiki</v>
      </c>
      <c r="AA10">
        <v>2016</v>
      </c>
    </row>
    <row r="11" spans="1:27" x14ac:dyDescent="0.2">
      <c r="A11" t="str">
        <v>Comedy</v>
      </c>
      <c r="C11" t="str">
        <v>Dev Patel</v>
      </c>
      <c r="D11">
        <v>1998</v>
      </c>
      <c r="E11" t="str" cm="1">
        <f t="array" ref="E11">_xlfn.IFS(
  AND(D11&gt;=1970, D11&lt;1980), "1970s",
  AND(D11&gt;=1980, D11&lt;1990), "1980s",
  AND(D11&gt;=1990, D11&lt;2000), "1990s",
  AND(D11&gt;=2000, D11&lt;2010), "2000s",
  AND(D11&gt;=2010, D11&lt;2020), "2010s",
  D11&gt;=2020, "2020s"
)</f>
        <v>1990s</v>
      </c>
      <c r="H11" t="str">
        <v>Interstellar II</v>
      </c>
      <c r="I11" t="str">
        <v>Sci-Fi</v>
      </c>
      <c r="J11" t="str">
        <v>USA</v>
      </c>
      <c r="K11" t="str">
        <v>Matthew McConaughey</v>
      </c>
      <c r="L11">
        <v>2019</v>
      </c>
      <c r="M11" t="str">
        <v>The Grand Budapest Hotel</v>
      </c>
      <c r="N11" t="str">
        <v>Comedy</v>
      </c>
      <c r="O11" t="str">
        <v>USA</v>
      </c>
      <c r="P11" t="str">
        <v>Ralph Fiennes</v>
      </c>
      <c r="Q11">
        <v>2014</v>
      </c>
      <c r="R11" t="str">
        <v>Interstellar II Remastered</v>
      </c>
      <c r="S11" t="str">
        <v>Sci-Fi</v>
      </c>
      <c r="T11" t="str">
        <v>USA</v>
      </c>
      <c r="U11" t="str">
        <v>Matthew McConaughey</v>
      </c>
      <c r="V11">
        <v>1995</v>
      </c>
      <c r="W11" t="str">
        <v>Train to Busan</v>
      </c>
      <c r="X11" t="str">
        <v>Horror</v>
      </c>
      <c r="Y11" t="str">
        <v>South Korea</v>
      </c>
      <c r="Z11" t="str">
        <v>Gong Yoo</v>
      </c>
      <c r="AA11">
        <v>2016</v>
      </c>
    </row>
    <row r="12" spans="1:27" x14ac:dyDescent="0.2">
      <c r="A12" t="str">
        <v>Horror</v>
      </c>
      <c r="C12" t="str">
        <v>Emma Stone</v>
      </c>
      <c r="D12">
        <v>2000</v>
      </c>
      <c r="E12" t="str" cm="1">
        <f t="array" ref="E12">_xlfn.IFS(
  AND(D12&gt;=1970, D12&lt;1980), "1970s",
  AND(D12&gt;=1980, D12&lt;1990), "1980s",
  AND(D12&gt;=1990, D12&lt;2000), "1990s",
  AND(D12&gt;=2000, D12&lt;2010), "2000s",
  AND(D12&gt;=2010, D12&lt;2020), "2010s",
  D12&gt;=2020, "2020s"
)</f>
        <v>2000s</v>
      </c>
      <c r="H12" t="str">
        <v>Interstellar II Remastered</v>
      </c>
      <c r="I12" t="str">
        <v>Sci-Fi</v>
      </c>
      <c r="J12" t="str">
        <v>USA</v>
      </c>
      <c r="K12" t="str">
        <v>Matthew McConaughey</v>
      </c>
      <c r="L12">
        <v>1995</v>
      </c>
      <c r="M12" t="str">
        <v>Avengers: Endgame</v>
      </c>
      <c r="N12" t="str">
        <v>Action</v>
      </c>
      <c r="O12" t="str">
        <v>USA</v>
      </c>
      <c r="P12" t="str">
        <v>Robert Downey Jr.</v>
      </c>
      <c r="Q12">
        <v>2019</v>
      </c>
      <c r="W12" t="str">
        <v>The Intouchables</v>
      </c>
      <c r="X12" t="str">
        <v>Drama</v>
      </c>
      <c r="Y12" t="str">
        <v>France</v>
      </c>
      <c r="Z12" t="str">
        <v>Omar Sy</v>
      </c>
      <c r="AA12">
        <v>2011</v>
      </c>
    </row>
    <row r="13" spans="1:27" x14ac:dyDescent="0.2">
      <c r="A13" t="str">
        <v>War</v>
      </c>
      <c r="C13" t="str">
        <v>Ralph Fiennes</v>
      </c>
      <c r="D13">
        <v>2001</v>
      </c>
      <c r="E13" t="str" cm="1">
        <f t="array" ref="E13">_xlfn.IFS(
  AND(D13&gt;=1970, D13&lt;1980), "1970s",
  AND(D13&gt;=1980, D13&lt;1990), "1980s",
  AND(D13&gt;=1990, D13&lt;2000), "1990s",
  AND(D13&gt;=2000, D13&lt;2010), "2000s",
  AND(D13&gt;=2010, D13&lt;2020), "2010s",
  D13&gt;=2020, "2020s"
)</f>
        <v>2000s</v>
      </c>
      <c r="M13" t="str">
        <v>Joker</v>
      </c>
      <c r="N13" t="str">
        <v>Drama</v>
      </c>
      <c r="O13" t="str">
        <v>USA</v>
      </c>
      <c r="P13" t="str">
        <v>Joaquin Phoenix</v>
      </c>
      <c r="Q13">
        <v>2019</v>
      </c>
      <c r="W13" t="str">
        <v>Avengers: Endgame</v>
      </c>
      <c r="X13" t="str">
        <v>Action</v>
      </c>
      <c r="Y13" t="str">
        <v>USA</v>
      </c>
      <c r="Z13" t="str">
        <v>Robert Downey Jr.</v>
      </c>
      <c r="AA13">
        <v>2019</v>
      </c>
    </row>
    <row r="14" spans="1:27" x14ac:dyDescent="0.2">
      <c r="A14" t="str">
        <v>Biography</v>
      </c>
      <c r="C14" t="str">
        <v>Ryunosuke Kamiki</v>
      </c>
      <c r="D14">
        <v>2002</v>
      </c>
      <c r="E14" t="str" cm="1">
        <f t="array" ref="E14">_xlfn.IFS(
  AND(D14&gt;=1970, D14&lt;1980), "1970s",
  AND(D14&gt;=1980, D14&lt;1990), "1980s",
  AND(D14&gt;=1990, D14&lt;2000), "1990s",
  AND(D14&gt;=2000, D14&lt;2010), "2000s",
  AND(D14&gt;=2010, D14&lt;2020), "2010s",
  D14&gt;=2020, "2020s"
)</f>
        <v>2000s</v>
      </c>
      <c r="M14" t="str">
        <v>Interstellar II</v>
      </c>
      <c r="N14" t="str">
        <v>Sci-Fi</v>
      </c>
      <c r="O14" t="str">
        <v>USA</v>
      </c>
      <c r="P14" t="str">
        <v>Matthew McConaughey</v>
      </c>
      <c r="Q14">
        <v>2017</v>
      </c>
      <c r="W14" t="str">
        <v>Joker</v>
      </c>
      <c r="X14" t="str">
        <v>Drama</v>
      </c>
      <c r="Y14" t="str">
        <v>USA</v>
      </c>
      <c r="Z14" t="str">
        <v>Joaquin Phoenix</v>
      </c>
      <c r="AA14">
        <v>2019</v>
      </c>
    </row>
    <row r="15" spans="1:27" x14ac:dyDescent="0.2">
      <c r="C15" t="str">
        <v>Gong Yoo</v>
      </c>
      <c r="D15">
        <v>2003</v>
      </c>
      <c r="E15" t="str" cm="1">
        <f t="array" ref="E15">_xlfn.IFS(
  AND(D15&gt;=1970, D15&lt;1980), "1970s",
  AND(D15&gt;=1980, D15&lt;1990), "1980s",
  AND(D15&gt;=1990, D15&lt;2000), "1990s",
  AND(D15&gt;=2000, D15&lt;2010), "2000s",
  AND(D15&gt;=2010, D15&lt;2020), "2010s",
  D15&gt;=2020, "2020s"
)</f>
        <v>2000s</v>
      </c>
      <c r="M15" t="str">
        <v>Avengers: Endgame II</v>
      </c>
      <c r="N15" t="str">
        <v>Action</v>
      </c>
      <c r="O15" t="str">
        <v>USA</v>
      </c>
      <c r="P15" t="str">
        <v>Robert Downey Jr.</v>
      </c>
      <c r="Q15">
        <v>2012</v>
      </c>
      <c r="W15" t="str">
        <v>1917</v>
      </c>
      <c r="X15" t="str">
        <v>War</v>
      </c>
      <c r="Y15" t="str">
        <v>UK</v>
      </c>
      <c r="Z15" t="str">
        <v>George MacKay</v>
      </c>
      <c r="AA15">
        <v>2019</v>
      </c>
    </row>
    <row r="16" spans="1:27" x14ac:dyDescent="0.2">
      <c r="C16" t="str">
        <v>Omar Sy</v>
      </c>
      <c r="D16">
        <v>2004</v>
      </c>
      <c r="E16" t="str" cm="1">
        <f t="array" ref="E16">_xlfn.IFS(
  AND(D16&gt;=1970, D16&lt;1980), "1970s",
  AND(D16&gt;=1980, D16&lt;1990), "1980s",
  AND(D16&gt;=1990, D16&lt;2000), "1990s",
  AND(D16&gt;=2000, D16&lt;2010), "2000s",
  AND(D16&gt;=2010, D16&lt;2020), "2010s",
  D16&gt;=2020, "2020s"
)</f>
        <v>2000s</v>
      </c>
      <c r="M16" t="str">
        <v>The Grand Budapest Hotel II</v>
      </c>
      <c r="N16" t="str">
        <v>Comedy</v>
      </c>
      <c r="O16" t="str">
        <v>USA</v>
      </c>
      <c r="P16" t="str">
        <v>Ralph Fiennes</v>
      </c>
      <c r="Q16">
        <v>2000</v>
      </c>
      <c r="W16" t="str">
        <v>Interstellar II</v>
      </c>
      <c r="X16" t="str">
        <v>Sci-Fi</v>
      </c>
      <c r="Y16" t="str">
        <v>USA</v>
      </c>
      <c r="Z16" t="str">
        <v>Matthew McConaughey</v>
      </c>
      <c r="AA16">
        <v>2017</v>
      </c>
    </row>
    <row r="17" spans="3:27" x14ac:dyDescent="0.2">
      <c r="C17" t="str">
        <v>Robert Downey Jr.</v>
      </c>
      <c r="D17">
        <v>2006</v>
      </c>
      <c r="E17" t="str" cm="1">
        <f t="array" ref="E17">_xlfn.IFS(
  AND(D17&gt;=1970, D17&lt;1980), "1970s",
  AND(D17&gt;=1980, D17&lt;1990), "1980s",
  AND(D17&gt;=1990, D17&lt;2000), "1990s",
  AND(D17&gt;=2000, D17&lt;2010), "2000s",
  AND(D17&gt;=2010, D17&lt;2020), "2010s",
  D17&gt;=2020, "2020s"
)</f>
        <v>2000s</v>
      </c>
      <c r="M17" t="str">
        <v>The Grand Budapest Hotel II</v>
      </c>
      <c r="N17" t="str">
        <v>Comedy</v>
      </c>
      <c r="O17" t="str">
        <v>USA</v>
      </c>
      <c r="P17" t="str">
        <v>Ralph Fiennes</v>
      </c>
      <c r="Q17">
        <v>2023</v>
      </c>
      <c r="W17" t="str">
        <v>Avengers: Endgame II</v>
      </c>
      <c r="X17" t="str">
        <v>Action</v>
      </c>
      <c r="Y17" t="str">
        <v>USA</v>
      </c>
      <c r="Z17" t="str">
        <v>Robert Downey Jr.</v>
      </c>
      <c r="AA17">
        <v>2012</v>
      </c>
    </row>
    <row r="18" spans="3:27" x14ac:dyDescent="0.2">
      <c r="C18" t="str">
        <v>Roberto Benigni</v>
      </c>
      <c r="D18">
        <v>2008</v>
      </c>
      <c r="E18" t="str" cm="1">
        <f t="array" ref="E18">_xlfn.IFS(
  AND(D18&gt;=1970, D18&lt;1980), "1970s",
  AND(D18&gt;=1980, D18&lt;1990), "1980s",
  AND(D18&gt;=1990, D18&lt;2000), "1990s",
  AND(D18&gt;=2000, D18&lt;2010), "2000s",
  AND(D18&gt;=2010, D18&lt;2020), "2010s",
  D18&gt;=2020, "2020s"
)</f>
        <v>2000s</v>
      </c>
      <c r="M18" t="str">
        <v>Titanic II</v>
      </c>
      <c r="N18" t="str">
        <v>Romance</v>
      </c>
      <c r="O18" t="str">
        <v>USA</v>
      </c>
      <c r="P18" t="str">
        <v>Kate Winslet</v>
      </c>
      <c r="Q18">
        <v>2015</v>
      </c>
      <c r="W18" t="str">
        <v>Titanic II</v>
      </c>
      <c r="X18" t="str">
        <v>Romance</v>
      </c>
      <c r="Y18" t="str">
        <v>USA</v>
      </c>
      <c r="Z18" t="str">
        <v>Kate Winslet</v>
      </c>
      <c r="AA18">
        <v>2015</v>
      </c>
    </row>
    <row r="19" spans="3:27" x14ac:dyDescent="0.2">
      <c r="C19" t="str">
        <v>Joaquin Phoenix</v>
      </c>
      <c r="D19">
        <v>2009</v>
      </c>
      <c r="E19" t="str" cm="1">
        <f t="array" ref="E19">_xlfn.IFS(
  AND(D19&gt;=1970, D19&lt;1980), "1970s",
  AND(D19&gt;=1980, D19&lt;1990), "1980s",
  AND(D19&gt;=1990, D19&lt;2000), "1990s",
  AND(D19&gt;=2000, D19&lt;2010), "2000s",
  AND(D19&gt;=2010, D19&lt;2020), "2010s",
  D19&gt;=2020, "2020s"
)</f>
        <v>2000s</v>
      </c>
      <c r="M19" t="str">
        <v>The Grand Budapest Hotel II</v>
      </c>
      <c r="N19" t="str">
        <v>Comedy</v>
      </c>
      <c r="O19" t="str">
        <v>USA</v>
      </c>
      <c r="P19" t="str">
        <v>Ralph Fiennes</v>
      </c>
      <c r="Q19">
        <v>1994</v>
      </c>
      <c r="W19" t="str">
        <v>Amélie II</v>
      </c>
      <c r="X19" t="str">
        <v>Romantic Comedy</v>
      </c>
      <c r="Y19" t="str">
        <v>France</v>
      </c>
      <c r="Z19" t="str">
        <v>Audrey Tautou</v>
      </c>
      <c r="AA19">
        <v>2014</v>
      </c>
    </row>
    <row r="20" spans="3:27" x14ac:dyDescent="0.2">
      <c r="C20" t="str">
        <v>George MacKay</v>
      </c>
      <c r="D20">
        <v>2010</v>
      </c>
      <c r="E20" t="str" cm="1">
        <f t="array" ref="E20">_xlfn.IFS(
  AND(D20&gt;=1970, D20&lt;1980), "1970s",
  AND(D20&gt;=1980, D20&lt;1990), "1980s",
  AND(D20&gt;=1990, D20&lt;2000), "1990s",
  AND(D20&gt;=2000, D20&lt;2010), "2000s",
  AND(D20&gt;=2010, D20&lt;2020), "2010s",
  D20&gt;=2020, "2020s"
)</f>
        <v>2010s</v>
      </c>
      <c r="M20" t="str">
        <v>The Grand Budapest Hotel II</v>
      </c>
      <c r="N20" t="str">
        <v>Comedy</v>
      </c>
      <c r="O20" t="str">
        <v>USA</v>
      </c>
      <c r="P20" t="str">
        <v>Ralph Fiennes</v>
      </c>
      <c r="Q20">
        <v>2016</v>
      </c>
      <c r="W20" t="str">
        <v>The Grand Budapest Hotel II</v>
      </c>
      <c r="X20" t="str">
        <v>Comedy</v>
      </c>
      <c r="Y20" t="str">
        <v>USA</v>
      </c>
      <c r="Z20" t="str">
        <v>Ralph Fiennes</v>
      </c>
      <c r="AA20">
        <v>2016</v>
      </c>
    </row>
    <row r="21" spans="3:27" x14ac:dyDescent="0.2">
      <c r="C21" t="str">
        <v>Adrien Brody</v>
      </c>
      <c r="D21">
        <v>2011</v>
      </c>
      <c r="E21" t="str" cm="1">
        <f t="array" ref="E21">_xlfn.IFS(
  AND(D21&gt;=1970, D21&lt;1980), "1970s",
  AND(D21&gt;=1980, D21&lt;1990), "1980s",
  AND(D21&gt;=1990, D21&lt;2000), "1990s",
  AND(D21&gt;=2000, D21&lt;2010), "2000s",
  AND(D21&gt;=2010, D21&lt;2020), "2010s",
  D21&gt;=2020, "2020s"
)</f>
        <v>2010s</v>
      </c>
      <c r="M21" t="str">
        <v>Avengers: Endgame II</v>
      </c>
      <c r="N21" t="str">
        <v>Action</v>
      </c>
      <c r="O21" t="str">
        <v>USA</v>
      </c>
      <c r="P21" t="str">
        <v>Robert Downey Jr.</v>
      </c>
      <c r="Q21">
        <v>2015</v>
      </c>
      <c r="W21" t="str">
        <v>Avengers: Endgame II</v>
      </c>
      <c r="X21" t="str">
        <v>Action</v>
      </c>
      <c r="Y21" t="str">
        <v>USA</v>
      </c>
      <c r="Z21" t="str">
        <v>Robert Downey Jr.</v>
      </c>
      <c r="AA21">
        <v>2015</v>
      </c>
    </row>
    <row r="22" spans="3:27" x14ac:dyDescent="0.2">
      <c r="D22">
        <v>2012</v>
      </c>
      <c r="E22" t="str" cm="1">
        <f t="array" ref="E22">_xlfn.IFS(
  AND(D22&gt;=1970, D22&lt;1980), "1970s",
  AND(D22&gt;=1980, D22&lt;1990), "1980s",
  AND(D22&gt;=1990, D22&lt;2000), "1990s",
  AND(D22&gt;=2000, D22&lt;2010), "2000s",
  AND(D22&gt;=2010, D22&lt;2020), "2010s",
  D22&gt;=2020, "2020s"
)</f>
        <v>2010s</v>
      </c>
      <c r="M22" t="str">
        <v>The Grand Budapest Hotel II</v>
      </c>
      <c r="N22" t="str">
        <v>Comedy</v>
      </c>
      <c r="O22" t="str">
        <v>USA</v>
      </c>
      <c r="P22" t="str">
        <v>Ralph Fiennes</v>
      </c>
      <c r="Q22">
        <v>2004</v>
      </c>
      <c r="W22" t="str">
        <v>Life Is Beautiful II Remastered</v>
      </c>
      <c r="X22" t="str">
        <v>Drama</v>
      </c>
      <c r="Y22" t="str">
        <v>Italy</v>
      </c>
      <c r="Z22" t="str">
        <v>Roberto Benigni</v>
      </c>
      <c r="AA22">
        <v>2013</v>
      </c>
    </row>
    <row r="23" spans="3:27" x14ac:dyDescent="0.2">
      <c r="D23">
        <v>2013</v>
      </c>
      <c r="E23" t="str" cm="1">
        <f t="array" ref="E23">_xlfn.IFS(
  AND(D23&gt;=1970, D23&lt;1980), "1970s",
  AND(D23&gt;=1980, D23&lt;1990), "1980s",
  AND(D23&gt;=1990, D23&lt;2000), "1990s",
  AND(D23&gt;=2000, D23&lt;2010), "2000s",
  AND(D23&gt;=2010, D23&lt;2020), "2010s",
  D23&gt;=2020, "2020s"
)</f>
        <v>2010s</v>
      </c>
      <c r="M23" t="str">
        <v>The Grand Budapest Hotel II Remastered</v>
      </c>
      <c r="N23" t="str">
        <v>Comedy</v>
      </c>
      <c r="O23" t="str">
        <v>USA</v>
      </c>
      <c r="P23" t="str">
        <v>Ralph Fiennes</v>
      </c>
      <c r="Q23">
        <v>2000</v>
      </c>
      <c r="W23" t="str">
        <v>Amélie II Remastered</v>
      </c>
      <c r="X23" t="str">
        <v>Romantic Comedy</v>
      </c>
      <c r="Y23" t="str">
        <v>France</v>
      </c>
      <c r="Z23" t="str">
        <v>Audrey Tautou</v>
      </c>
      <c r="AA23">
        <v>2014</v>
      </c>
    </row>
    <row r="24" spans="3:27" x14ac:dyDescent="0.2">
      <c r="D24">
        <v>2014</v>
      </c>
      <c r="E24" t="str" cm="1">
        <f t="array" ref="E24">_xlfn.IFS(
  AND(D24&gt;=1970, D24&lt;1980), "1970s",
  AND(D24&gt;=1980, D24&lt;1990), "1980s",
  AND(D24&gt;=1990, D24&lt;2000), "1990s",
  AND(D24&gt;=2000, D24&lt;2010), "2000s",
  AND(D24&gt;=2010, D24&lt;2020), "2010s",
  D24&gt;=2020, "2020s"
)</f>
        <v>2010s</v>
      </c>
      <c r="M24" t="str">
        <v>Joker II</v>
      </c>
      <c r="N24" t="str">
        <v>Drama</v>
      </c>
      <c r="O24" t="str">
        <v>USA</v>
      </c>
      <c r="P24" t="str">
        <v>Joaquin Phoenix</v>
      </c>
      <c r="Q24">
        <v>1992</v>
      </c>
      <c r="W24" t="str">
        <v>1917 II</v>
      </c>
      <c r="X24" t="str">
        <v>War</v>
      </c>
      <c r="Y24" t="str">
        <v>UK</v>
      </c>
      <c r="Z24" t="str">
        <v>George MacKay</v>
      </c>
      <c r="AA24">
        <v>2015</v>
      </c>
    </row>
    <row r="25" spans="3:27" x14ac:dyDescent="0.2">
      <c r="D25">
        <v>2015</v>
      </c>
      <c r="E25" t="str" cm="1">
        <f t="array" ref="E25">_xlfn.IFS(
  AND(D25&gt;=1970, D25&lt;1980), "1970s",
  AND(D25&gt;=1980, D25&lt;1990), "1980s",
  AND(D25&gt;=1990, D25&lt;2000), "1990s",
  AND(D25&gt;=2000, D25&lt;2010), "2000s",
  AND(D25&gt;=2010, D25&lt;2020), "2010s",
  D25&gt;=2020, "2020s"
)</f>
        <v>2010s</v>
      </c>
      <c r="M25" t="str">
        <v>Joker II</v>
      </c>
      <c r="N25" t="str">
        <v>Drama</v>
      </c>
      <c r="O25" t="str">
        <v>USA</v>
      </c>
      <c r="P25" t="str">
        <v>Joaquin Phoenix</v>
      </c>
      <c r="Q25">
        <v>2019</v>
      </c>
      <c r="W25" t="str">
        <v>Joker II</v>
      </c>
      <c r="X25" t="str">
        <v>Drama</v>
      </c>
      <c r="Y25" t="str">
        <v>USA</v>
      </c>
      <c r="Z25" t="str">
        <v>Joaquin Phoenix</v>
      </c>
      <c r="AA25">
        <v>2019</v>
      </c>
    </row>
    <row r="26" spans="3:27" x14ac:dyDescent="0.2">
      <c r="D26">
        <v>2016</v>
      </c>
      <c r="E26" t="str" cm="1">
        <f t="array" ref="E26">_xlfn.IFS(
  AND(D26&gt;=1970, D26&lt;1980), "1970s",
  AND(D26&gt;=1980, D26&lt;1990), "1980s",
  AND(D26&gt;=1990, D26&lt;2000), "1990s",
  AND(D26&gt;=2000, D26&lt;2010), "2000s",
  AND(D26&gt;=2010, D26&lt;2020), "2010s",
  D26&gt;=2020, "2020s"
)</f>
        <v>2010s</v>
      </c>
      <c r="M26" t="str">
        <v>Interstellar II</v>
      </c>
      <c r="N26" t="str">
        <v>Sci-Fi</v>
      </c>
      <c r="O26" t="str">
        <v>USA</v>
      </c>
      <c r="P26" t="str">
        <v>Matthew McConaughey</v>
      </c>
      <c r="Q26">
        <v>2023</v>
      </c>
      <c r="W26" t="str">
        <v>Your Name II Remastered</v>
      </c>
      <c r="X26" t="str">
        <v>Animation</v>
      </c>
      <c r="Y26" t="str">
        <v>Japan</v>
      </c>
      <c r="Z26" t="str">
        <v>Ryunosuke Kamiki</v>
      </c>
      <c r="AA26">
        <v>2016</v>
      </c>
    </row>
    <row r="27" spans="3:27" x14ac:dyDescent="0.2">
      <c r="D27">
        <v>2017</v>
      </c>
      <c r="E27" t="str" cm="1">
        <f t="array" ref="E27">_xlfn.IFS(
  AND(D27&gt;=1970, D27&lt;1980), "1970s",
  AND(D27&gt;=1980, D27&lt;1990), "1980s",
  AND(D27&gt;=1990, D27&lt;2000), "1990s",
  AND(D27&gt;=2000, D27&lt;2010), "2000s",
  AND(D27&gt;=2010, D27&lt;2020), "2010s",
  D27&gt;=2020, "2020s"
)</f>
        <v>2010s</v>
      </c>
      <c r="M27" t="str">
        <v>Joker II Remastered</v>
      </c>
      <c r="N27" t="str">
        <v>Drama</v>
      </c>
      <c r="O27" t="str">
        <v>USA</v>
      </c>
      <c r="P27" t="str">
        <v>Joaquin Phoenix</v>
      </c>
      <c r="Q27">
        <v>1996</v>
      </c>
      <c r="W27" t="str">
        <v>1917 II</v>
      </c>
      <c r="X27" t="str">
        <v>War</v>
      </c>
      <c r="Y27" t="str">
        <v>UK</v>
      </c>
      <c r="Z27" t="str">
        <v>George MacKay</v>
      </c>
      <c r="AA27">
        <v>2013</v>
      </c>
    </row>
    <row r="28" spans="3:27" x14ac:dyDescent="0.2">
      <c r="D28">
        <v>2018</v>
      </c>
      <c r="E28" t="str" cm="1">
        <f t="array" ref="E28">_xlfn.IFS(
  AND(D28&gt;=1970, D28&lt;1980), "1970s",
  AND(D28&gt;=1980, D28&lt;1990), "1980s",
  AND(D28&gt;=1990, D28&lt;2000), "1990s",
  AND(D28&gt;=2000, D28&lt;2010), "2000s",
  AND(D28&gt;=2010, D28&lt;2020), "2010s",
  D28&gt;=2020, "2020s"
)</f>
        <v>2010s</v>
      </c>
      <c r="M28" t="str">
        <v>The Grand Budapest Hotel II</v>
      </c>
      <c r="N28" t="str">
        <v>Comedy</v>
      </c>
      <c r="O28" t="str">
        <v>USA</v>
      </c>
      <c r="P28" t="str">
        <v>Ralph Fiennes</v>
      </c>
      <c r="Q28">
        <v>1993</v>
      </c>
      <c r="W28" t="str">
        <v>Spirited Away II</v>
      </c>
      <c r="X28" t="str">
        <v>Animation</v>
      </c>
      <c r="Y28" t="str">
        <v>Japan</v>
      </c>
      <c r="Z28" t="str">
        <v>Rumi Hiiragi</v>
      </c>
      <c r="AA28">
        <v>2017</v>
      </c>
    </row>
    <row r="29" spans="3:27" x14ac:dyDescent="0.2">
      <c r="D29">
        <v>2019</v>
      </c>
      <c r="E29" t="str" cm="1">
        <f t="array" ref="E29">_xlfn.IFS(
  AND(D29&gt;=1970, D29&lt;1980), "1970s",
  AND(D29&gt;=1980, D29&lt;1990), "1980s",
  AND(D29&gt;=1990, D29&lt;2000), "1990s",
  AND(D29&gt;=2000, D29&lt;2010), "2000s",
  AND(D29&gt;=2010, D29&lt;2020), "2010s",
  D29&gt;=2020, "2020s"
)</f>
        <v>2010s</v>
      </c>
      <c r="M29" t="str">
        <v>Avengers: Endgame II</v>
      </c>
      <c r="N29" t="str">
        <v>Action</v>
      </c>
      <c r="O29" t="str">
        <v>USA</v>
      </c>
      <c r="P29" t="str">
        <v>Robert Downey Jr.</v>
      </c>
      <c r="Q29">
        <v>1991</v>
      </c>
      <c r="W29" t="str">
        <v>Life Is Beautiful II Remastered</v>
      </c>
      <c r="X29" t="str">
        <v>Drama</v>
      </c>
      <c r="Y29" t="str">
        <v>Italy</v>
      </c>
      <c r="Z29" t="str">
        <v>Roberto Benigni</v>
      </c>
      <c r="AA29">
        <v>2014</v>
      </c>
    </row>
    <row r="30" spans="3:27" x14ac:dyDescent="0.2">
      <c r="D30">
        <v>2020</v>
      </c>
      <c r="E30" t="str" cm="1">
        <f t="array" ref="E30">_xlfn.IFS(
  AND(D30&gt;=1970, D30&lt;1980), "1970s",
  AND(D30&gt;=1980, D30&lt;1990), "1980s",
  AND(D30&gt;=1990, D30&lt;2000), "1990s",
  AND(D30&gt;=2000, D30&lt;2010), "2000s",
  AND(D30&gt;=2010, D30&lt;2020), "2010s",
  D30&gt;=2020, "2020s"
)</f>
        <v>2020s</v>
      </c>
      <c r="M30" t="str">
        <v>Interstellar II Remastered</v>
      </c>
      <c r="N30" t="str">
        <v>Sci-Fi</v>
      </c>
      <c r="O30" t="str">
        <v>USA</v>
      </c>
      <c r="P30" t="str">
        <v>Matthew McConaughey</v>
      </c>
      <c r="Q30">
        <v>1995</v>
      </c>
      <c r="W30" t="str">
        <v>Joker II Remastered Remastered</v>
      </c>
      <c r="X30" t="str">
        <v>Drama</v>
      </c>
      <c r="Y30" t="str">
        <v>USA</v>
      </c>
      <c r="Z30" t="str">
        <v>Joaquin Phoenix</v>
      </c>
      <c r="AA30">
        <v>2010</v>
      </c>
    </row>
    <row r="31" spans="3:27" x14ac:dyDescent="0.2">
      <c r="D31">
        <v>2021</v>
      </c>
      <c r="E31" t="str" cm="1">
        <f t="array" ref="E31">_xlfn.IFS(
  AND(D31&gt;=1970, D31&lt;1980), "1970s",
  AND(D31&gt;=1980, D31&lt;1990), "1980s",
  AND(D31&gt;=1990, D31&lt;2000), "1990s",
  AND(D31&gt;=2000, D31&lt;2010), "2000s",
  AND(D31&gt;=2010, D31&lt;2020), "2010s",
  D31&gt;=2020, "2020s"
)</f>
        <v>2020s</v>
      </c>
      <c r="M31" t="str">
        <v>Interstellar II Remastered</v>
      </c>
      <c r="N31" t="str">
        <v>Sci-Fi</v>
      </c>
      <c r="O31" t="str">
        <v>USA</v>
      </c>
      <c r="P31" t="str">
        <v>Matthew McConaughey</v>
      </c>
      <c r="Q31">
        <v>2001</v>
      </c>
      <c r="W31" t="str">
        <v>Spirited Away II</v>
      </c>
      <c r="X31" t="str">
        <v>Animation</v>
      </c>
      <c r="Y31" t="str">
        <v>Japan</v>
      </c>
      <c r="Z31" t="str">
        <v>Rumi Hiiragi</v>
      </c>
      <c r="AA31">
        <v>2014</v>
      </c>
    </row>
    <row r="32" spans="3:27" x14ac:dyDescent="0.2">
      <c r="D32">
        <v>2022</v>
      </c>
      <c r="E32" t="str" cm="1">
        <f t="array" ref="E32">_xlfn.IFS(
  AND(D32&gt;=1970, D32&lt;1980), "1970s",
  AND(D32&gt;=1980, D32&lt;1990), "1980s",
  AND(D32&gt;=1990, D32&lt;2000), "1990s",
  AND(D32&gt;=2000, D32&lt;2010), "2000s",
  AND(D32&gt;=2010, D32&lt;2020), "2010s",
  D32&gt;=2020, "2020s"
)</f>
        <v>2020s</v>
      </c>
      <c r="M32" t="str">
        <v>Joker II Remastered</v>
      </c>
      <c r="N32" t="str">
        <v>Drama</v>
      </c>
      <c r="O32" t="str">
        <v>USA</v>
      </c>
      <c r="P32" t="str">
        <v>Joaquin Phoenix</v>
      </c>
      <c r="Q32">
        <v>1990</v>
      </c>
      <c r="W32" t="str">
        <v>Life Is Beautiful II</v>
      </c>
      <c r="X32" t="str">
        <v>Drama</v>
      </c>
      <c r="Y32" t="str">
        <v>Italy</v>
      </c>
      <c r="Z32" t="str">
        <v>Roberto Benigni</v>
      </c>
      <c r="AA32">
        <v>2013</v>
      </c>
    </row>
    <row r="33" spans="4:27" x14ac:dyDescent="0.2">
      <c r="D33">
        <v>2023</v>
      </c>
      <c r="E33" t="str" cm="1">
        <f t="array" ref="E33">_xlfn.IFS(
  AND(D33&gt;=1970, D33&lt;1980), "1970s",
  AND(D33&gt;=1980, D33&lt;1990), "1980s",
  AND(D33&gt;=1990, D33&lt;2000), "1990s",
  AND(D33&gt;=2000, D33&lt;2010), "2000s",
  AND(D33&gt;=2010, D33&lt;2020), "2010s",
  D33&gt;=2020, "2020s"
)</f>
        <v>2020s</v>
      </c>
      <c r="M33" t="str">
        <v>The Grand Budapest Hotel II Remastered</v>
      </c>
      <c r="N33" t="str">
        <v>Comedy</v>
      </c>
      <c r="O33" t="str">
        <v>USA</v>
      </c>
      <c r="P33" t="str">
        <v>Ralph Fiennes</v>
      </c>
      <c r="Q33">
        <v>2004</v>
      </c>
      <c r="W33" t="str">
        <v>Joker II Remastered Remastered</v>
      </c>
      <c r="X33" t="str">
        <v>Drama</v>
      </c>
      <c r="Y33" t="str">
        <v>USA</v>
      </c>
      <c r="Z33" t="str">
        <v>Joaquin Phoenix</v>
      </c>
      <c r="AA33">
        <v>2011</v>
      </c>
    </row>
    <row r="34" spans="4:27" x14ac:dyDescent="0.2">
      <c r="M34" t="str">
        <v>Joker II Remastered Remastered</v>
      </c>
      <c r="N34" t="str">
        <v>Drama</v>
      </c>
      <c r="O34" t="str">
        <v>USA</v>
      </c>
      <c r="P34" t="str">
        <v>Joaquin Phoenix</v>
      </c>
      <c r="Q34">
        <v>2010</v>
      </c>
      <c r="W34" t="str">
        <v>1917 II Remastered</v>
      </c>
      <c r="X34" t="str">
        <v>War</v>
      </c>
      <c r="Y34" t="str">
        <v>UK</v>
      </c>
      <c r="Z34" t="str">
        <v>George MacKay</v>
      </c>
      <c r="AA34">
        <v>2014</v>
      </c>
    </row>
    <row r="35" spans="4:27" x14ac:dyDescent="0.2">
      <c r="M35" t="str">
        <v>The Grand Budapest Hotel II Remastered</v>
      </c>
      <c r="N35" t="str">
        <v>Comedy</v>
      </c>
      <c r="O35" t="str">
        <v>USA</v>
      </c>
      <c r="P35" t="str">
        <v>Ralph Fiennes</v>
      </c>
      <c r="Q35">
        <v>2002</v>
      </c>
      <c r="W35" t="str">
        <v>Slumdog Millionaire II Remastered Remastered</v>
      </c>
      <c r="X35" t="str">
        <v>Drama</v>
      </c>
      <c r="Y35" t="str">
        <v>UK</v>
      </c>
      <c r="Z35" t="str">
        <v>Dev Patel</v>
      </c>
      <c r="AA35">
        <v>2013</v>
      </c>
    </row>
    <row r="36" spans="4:27" x14ac:dyDescent="0.2">
      <c r="M36" t="str">
        <v>Joker II Remastered Remastered</v>
      </c>
      <c r="N36" t="str">
        <v>Drama</v>
      </c>
      <c r="O36" t="str">
        <v>USA</v>
      </c>
      <c r="P36" t="str">
        <v>Joaquin Phoenix</v>
      </c>
      <c r="Q36">
        <v>2011</v>
      </c>
      <c r="W36" t="str">
        <v>Joker II Remastered Remastered Remastered</v>
      </c>
      <c r="X36" t="str">
        <v>Drama</v>
      </c>
      <c r="Y36" t="str">
        <v>USA</v>
      </c>
      <c r="Z36" t="str">
        <v>Joaquin Phoenix</v>
      </c>
      <c r="AA36">
        <v>2013</v>
      </c>
    </row>
    <row r="37" spans="4:27" x14ac:dyDescent="0.2">
      <c r="M37" t="str">
        <v>La La Land II</v>
      </c>
      <c r="N37" t="str">
        <v>Musical</v>
      </c>
      <c r="O37" t="str">
        <v>USA</v>
      </c>
      <c r="P37" t="str">
        <v>Emma Stone</v>
      </c>
      <c r="Q37">
        <v>2004</v>
      </c>
      <c r="W37" t="str">
        <v>The Godfather II</v>
      </c>
      <c r="X37" t="str">
        <v>Crime</v>
      </c>
      <c r="Y37" t="str">
        <v>USA</v>
      </c>
      <c r="Z37" t="str">
        <v>Marlon Brando</v>
      </c>
      <c r="AA37">
        <v>2013</v>
      </c>
    </row>
    <row r="38" spans="4:27" x14ac:dyDescent="0.2">
      <c r="M38" t="str">
        <v>Joker II Remastered Remastered Remastered</v>
      </c>
      <c r="N38" t="str">
        <v>Drama</v>
      </c>
      <c r="O38" t="str">
        <v>USA</v>
      </c>
      <c r="P38" t="str">
        <v>Joaquin Phoenix</v>
      </c>
      <c r="Q38">
        <v>2013</v>
      </c>
      <c r="W38" t="str">
        <v>The Dark Knight II</v>
      </c>
      <c r="X38" t="str">
        <v>Action</v>
      </c>
      <c r="Y38" t="str">
        <v>USA</v>
      </c>
      <c r="Z38" t="str">
        <v>Christian Bale</v>
      </c>
      <c r="AA38">
        <v>2011</v>
      </c>
    </row>
    <row r="39" spans="4:27" x14ac:dyDescent="0.2">
      <c r="M39" t="str">
        <v>The Godfather II</v>
      </c>
      <c r="N39" t="str">
        <v>Crime</v>
      </c>
      <c r="O39" t="str">
        <v>USA</v>
      </c>
      <c r="P39" t="str">
        <v>Marlon Brando</v>
      </c>
      <c r="Q39">
        <v>2013</v>
      </c>
      <c r="W39" t="str">
        <v>Interstellar II</v>
      </c>
      <c r="X39" t="str">
        <v>Sci-Fi</v>
      </c>
      <c r="Y39" t="str">
        <v>USA</v>
      </c>
      <c r="Z39" t="str">
        <v>Matthew McConaughey</v>
      </c>
      <c r="AA39">
        <v>2019</v>
      </c>
    </row>
    <row r="40" spans="4:27" x14ac:dyDescent="0.2">
      <c r="M40" t="str">
        <v>La La Land II Remastered</v>
      </c>
      <c r="N40" t="str">
        <v>Musical</v>
      </c>
      <c r="O40" t="str">
        <v>USA</v>
      </c>
      <c r="P40" t="str">
        <v>Emma Stone</v>
      </c>
      <c r="Q40">
        <v>1998</v>
      </c>
      <c r="W40" t="str">
        <v>The Grand Budapest Hotel II Remastered Remastered</v>
      </c>
      <c r="X40" t="str">
        <v>Comedy</v>
      </c>
      <c r="Y40" t="str">
        <v>USA</v>
      </c>
      <c r="Z40" t="str">
        <v>Ralph Fiennes</v>
      </c>
      <c r="AA40">
        <v>2019</v>
      </c>
    </row>
    <row r="41" spans="4:27" x14ac:dyDescent="0.2">
      <c r="M41" t="str">
        <v>The Dark Knight II</v>
      </c>
      <c r="N41" t="str">
        <v>Action</v>
      </c>
      <c r="O41" t="str">
        <v>USA</v>
      </c>
      <c r="P41" t="str">
        <v>Christian Bale</v>
      </c>
      <c r="Q41">
        <v>2011</v>
      </c>
      <c r="W41" t="str">
        <v>Titanic II Remastered</v>
      </c>
      <c r="X41" t="str">
        <v>Romance</v>
      </c>
      <c r="Y41" t="str">
        <v>USA</v>
      </c>
      <c r="Z41" t="str">
        <v>Kate Winslet</v>
      </c>
      <c r="AA41">
        <v>2012</v>
      </c>
    </row>
    <row r="42" spans="4:27" x14ac:dyDescent="0.2">
      <c r="M42" t="str">
        <v>The Grand Budapest Hotel II Remastered</v>
      </c>
      <c r="N42" t="str">
        <v>Comedy</v>
      </c>
      <c r="O42" t="str">
        <v>USA</v>
      </c>
      <c r="P42" t="str">
        <v>Ralph Fiennes</v>
      </c>
      <c r="Q42">
        <v>1990</v>
      </c>
      <c r="W42" t="str">
        <v>Joker II Remastered Remastered</v>
      </c>
      <c r="X42" t="str">
        <v>Drama</v>
      </c>
      <c r="Y42" t="str">
        <v>USA</v>
      </c>
      <c r="Z42" t="str">
        <v>Joaquin Phoenix</v>
      </c>
      <c r="AA42">
        <v>2016</v>
      </c>
    </row>
    <row r="43" spans="4:27" x14ac:dyDescent="0.2">
      <c r="M43" t="str">
        <v>Titanic II Remastered</v>
      </c>
      <c r="N43" t="str">
        <v>Romance</v>
      </c>
      <c r="O43" t="str">
        <v>USA</v>
      </c>
      <c r="P43" t="str">
        <v>Kate Winslet</v>
      </c>
      <c r="Q43">
        <v>1991</v>
      </c>
      <c r="W43" t="str">
        <v>Oldboy II Remastered</v>
      </c>
      <c r="X43" t="str">
        <v>Thriller</v>
      </c>
      <c r="Y43" t="str">
        <v>South Korea</v>
      </c>
      <c r="Z43" t="str">
        <v>Choi Min-sik</v>
      </c>
      <c r="AA43">
        <v>2011</v>
      </c>
    </row>
    <row r="44" spans="4:27" x14ac:dyDescent="0.2">
      <c r="M44" t="str">
        <v>Interstellar II</v>
      </c>
      <c r="N44" t="str">
        <v>Sci-Fi</v>
      </c>
      <c r="O44" t="str">
        <v>USA</v>
      </c>
      <c r="P44" t="str">
        <v>Matthew McConaughey</v>
      </c>
      <c r="Q44">
        <v>2019</v>
      </c>
      <c r="W44" t="str">
        <v>The Grand Budapest Hotel II Remastered</v>
      </c>
      <c r="X44" t="str">
        <v>Comedy</v>
      </c>
      <c r="Y44" t="str">
        <v>USA</v>
      </c>
      <c r="Z44" t="str">
        <v>Ralph Fiennes</v>
      </c>
      <c r="AA44">
        <v>2019</v>
      </c>
    </row>
    <row r="45" spans="4:27" x14ac:dyDescent="0.2">
      <c r="M45" t="str">
        <v>The Grand Budapest Hotel II Remastered Remastered</v>
      </c>
      <c r="N45" t="str">
        <v>Comedy</v>
      </c>
      <c r="O45" t="str">
        <v>USA</v>
      </c>
      <c r="P45" t="str">
        <v>Ralph Fiennes</v>
      </c>
      <c r="Q45">
        <v>2019</v>
      </c>
      <c r="W45" t="str">
        <v>Spirited Away II Remastered Remastered</v>
      </c>
      <c r="X45" t="str">
        <v>Animation</v>
      </c>
      <c r="Y45" t="str">
        <v>Japan</v>
      </c>
      <c r="Z45" t="str">
        <v>Rumi Hiiragi</v>
      </c>
      <c r="AA45">
        <v>2014</v>
      </c>
    </row>
    <row r="46" spans="4:27" x14ac:dyDescent="0.2">
      <c r="M46" t="str">
        <v>Titanic II Remastered</v>
      </c>
      <c r="N46" t="str">
        <v>Romance</v>
      </c>
      <c r="O46" t="str">
        <v>USA</v>
      </c>
      <c r="P46" t="str">
        <v>Kate Winslet</v>
      </c>
      <c r="Q46">
        <v>2012</v>
      </c>
      <c r="W46" t="str">
        <v>Titanic II</v>
      </c>
      <c r="X46" t="str">
        <v>Romance</v>
      </c>
      <c r="Y46" t="str">
        <v>USA</v>
      </c>
      <c r="Z46" t="str">
        <v>Kate Winslet</v>
      </c>
      <c r="AA46">
        <v>2018</v>
      </c>
    </row>
    <row r="47" spans="4:27" x14ac:dyDescent="0.2">
      <c r="M47" t="str">
        <v>Interstellar II Remastered</v>
      </c>
      <c r="N47" t="str">
        <v>Sci-Fi</v>
      </c>
      <c r="O47" t="str">
        <v>USA</v>
      </c>
      <c r="P47" t="str">
        <v>Matthew McConaughey</v>
      </c>
      <c r="Q47">
        <v>1995</v>
      </c>
    </row>
    <row r="48" spans="4:27" x14ac:dyDescent="0.2">
      <c r="M48" t="str">
        <v>Joker II Remastered Remastered</v>
      </c>
      <c r="N48" t="str">
        <v>Drama</v>
      </c>
      <c r="O48" t="str">
        <v>USA</v>
      </c>
      <c r="P48" t="str">
        <v>Joaquin Phoenix</v>
      </c>
      <c r="Q48">
        <v>2016</v>
      </c>
    </row>
    <row r="49" spans="13:17" x14ac:dyDescent="0.2">
      <c r="M49" t="str">
        <v>Joker II Remastered Remastered Remastered</v>
      </c>
      <c r="N49" t="str">
        <v>Drama</v>
      </c>
      <c r="O49" t="str">
        <v>USA</v>
      </c>
      <c r="P49" t="str">
        <v>Joaquin Phoenix</v>
      </c>
      <c r="Q49">
        <v>2006</v>
      </c>
    </row>
    <row r="50" spans="13:17" x14ac:dyDescent="0.2">
      <c r="M50" t="str">
        <v>The Grand Budapest Hotel II Remastered</v>
      </c>
      <c r="N50" t="str">
        <v>Comedy</v>
      </c>
      <c r="O50" t="str">
        <v>USA</v>
      </c>
      <c r="P50" t="str">
        <v>Ralph Fiennes</v>
      </c>
      <c r="Q50">
        <v>2019</v>
      </c>
    </row>
    <row r="51" spans="13:17" x14ac:dyDescent="0.2">
      <c r="M51" t="str">
        <v>La La Land II Remastered Remastered</v>
      </c>
      <c r="N51" t="str">
        <v>Musical</v>
      </c>
      <c r="O51" t="str">
        <v>USA</v>
      </c>
      <c r="P51" t="str">
        <v>Emma Stone</v>
      </c>
      <c r="Q51">
        <v>2002</v>
      </c>
    </row>
    <row r="52" spans="13:17" x14ac:dyDescent="0.2">
      <c r="M52" t="str">
        <v>The Dark Knight II Remastered</v>
      </c>
      <c r="N52" t="str">
        <v>Action</v>
      </c>
      <c r="O52" t="str">
        <v>USA</v>
      </c>
      <c r="P52" t="str">
        <v>Christian Bale</v>
      </c>
      <c r="Q52">
        <v>2021</v>
      </c>
    </row>
    <row r="53" spans="13:17" x14ac:dyDescent="0.2">
      <c r="M53" t="str">
        <v>The Grand Budapest Hotel II Remastered</v>
      </c>
      <c r="N53" t="str">
        <v>Comedy</v>
      </c>
      <c r="O53" t="str">
        <v>USA</v>
      </c>
      <c r="P53" t="str">
        <v>Ralph Fiennes</v>
      </c>
      <c r="Q53">
        <v>1996</v>
      </c>
    </row>
    <row r="54" spans="13:17" x14ac:dyDescent="0.2">
      <c r="M54" t="str">
        <v>Titanic II</v>
      </c>
      <c r="N54" t="str">
        <v>Romance</v>
      </c>
      <c r="O54" t="str">
        <v>USA</v>
      </c>
      <c r="P54" t="str">
        <v>Kate Winslet</v>
      </c>
      <c r="Q54">
        <v>2018</v>
      </c>
    </row>
    <row r="55" spans="13:17" x14ac:dyDescent="0.2">
      <c r="M55" t="str">
        <v>Joker II Remastered Remastered Remastered</v>
      </c>
      <c r="N55" t="str">
        <v>Drama</v>
      </c>
      <c r="O55" t="str">
        <v>USA</v>
      </c>
      <c r="P55" t="str">
        <v>Joaquin Phoenix</v>
      </c>
      <c r="Q55">
        <v>2023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C7"/>
  <sheetViews>
    <sheetView workbookViewId="0">
      <selection activeCell="C6" sqref="C6"/>
    </sheetView>
  </sheetViews>
  <sheetFormatPr baseColWidth="10" defaultRowHeight="16" x14ac:dyDescent="0.2"/>
  <sheetData>
    <row r="4" spans="3:3" x14ac:dyDescent="0.2">
      <c r="C4" t="s">
        <v>110</v>
      </c>
    </row>
    <row r="5" spans="3:3" x14ac:dyDescent="0.2">
      <c r="C5" t="str" cm="1">
        <f t="array" ref="C5:C7">_xlfn._xlws.FILTER(Movie[Movie Title],
(Movie[Type of Movie] = Type)
* (Movie[Country of the Movie] = Country)
* (Movie[Popular Actor] = Actor)
* (num_year &lt;= Movie[Year of the Movie]) * (Movie[Year of the Movie] &lt; (num_year + 10)),
"Not Available")</f>
        <v>Interstellar</v>
      </c>
    </row>
    <row r="6" spans="3:3" x14ac:dyDescent="0.2">
      <c r="C6" t="str">
        <v>Interstellar II</v>
      </c>
    </row>
    <row r="7" spans="3:3" x14ac:dyDescent="0.2">
      <c r="C7" t="str">
        <v>Interstellar II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Movie_Database</vt:lpstr>
      <vt:lpstr>Dashboard</vt:lpstr>
      <vt:lpstr>Worksheet</vt:lpstr>
      <vt:lpstr>Worksheet_Final</vt:lpstr>
      <vt:lpstr>Actor</vt:lpstr>
      <vt:lpstr>Country</vt:lpstr>
      <vt:lpstr>num_year</vt:lpstr>
      <vt:lpstr>Type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2025-05-06T01:34:14Z</dcterms:created>
  <dcterms:modified xsi:type="dcterms:W3CDTF">2025-05-06T01:43:46Z</dcterms:modified>
</cp:coreProperties>
</file>